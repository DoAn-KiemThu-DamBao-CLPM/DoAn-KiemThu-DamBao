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Thực thi nhóm 1" sheetId="2" state="visible" r:id="rId4"/>
    <sheet name="Tổng hợp" sheetId="3" state="visible" r:id="rId5"/>
  </sheets>
  <definedNames>
    <definedName function="false" hidden="true" localSheetId="1" name="_xlnm._FilterDatabase" vbProcedure="false">'Thực thi nhóm 1'!$A$4:$Q$53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<sst xmlns="http://schemas.openxmlformats.org/spreadsheetml/2006/main" count="644" uniqueCount="378">
  <si>
    <t xml:space="preserve">Cách dùng file này</t>
  </si>
  <si>
    <t xml:space="preserve">Mục đích</t>
  </si>
  <si>
    <t xml:space="preserve">Ghi kết quả chạy 49 test case của Nhóm 1 (M1–M5 + F49). File này là sản phẩm cho thư mục 04_Test_Execution/.</t>
  </si>
  <si>
    <t xml:space="preserve">Ô cần nhập (nền vàng)</t>
  </si>
  <si>
    <t xml:space="preserve">Kết quả thực tế · Trạng thái (chọn trong danh sách) · Bug ID · Ngày test · Ảnh chụp (tên file).</t>
  </si>
  <si>
    <t xml:space="preserve">Cột nền cam</t>
  </si>
  <si>
    <t xml:space="preserve">Điều chỉnh theo review: chỗ Review_TestCase_Nhom1 đề nghị sửa kết quả mong đợi hoặc ghi chú cách test. Đây là đề xuất chờ QA Lead duyệt, nên nếu hệ thống chạy khác bản gốc thì ghi rõ trong Kết quả thực tế.</t>
  </si>
  <si>
    <t xml:space="preserve">Trạng thái</t>
  </si>
  <si>
    <t xml:space="preserve">Not Run (mặc định) · Pass · Fail · Blocked · N/A. Trùng danh sách trong Checklist_TestCase.xlsx.</t>
  </si>
  <si>
    <t xml:space="preserve">Khi Fail</t>
  </si>
  <si>
    <t xml:space="preserve">Ghi Bug ID (BUG-xxx) và gửi cho Khang (người lập Bug Report). Chụp ảnh màn hình đặt tên theo TC ID, ví dụ TC001_fail.png.</t>
  </si>
  <si>
    <t xml:space="preserve">Thứ tự nên chạy</t>
  </si>
  <si>
    <t xml:space="preserve">P1 trước (lọc cột Ưu tiên = P1), rồi P2, P3. Theo Test Plan, test case P1 luôn chạy trước.</t>
  </si>
  <si>
    <t xml:space="preserve">Sheet Tổng hợp</t>
  </si>
  <si>
    <t xml:space="preserve">Tự đếm Pass/Fail/Not Run theo ưu tiên và module. Không gõ đè.</t>
  </si>
  <si>
    <t xml:space="preserve">Lưu ý dữ liệu</t>
  </si>
  <si>
    <t xml:space="preserve">Sao lưu CSDL trước mỗi đợt chạy (rủi ro 'dữ liệu test bị hỏng' trong Test Plan). Dùng tài khoản riêng cho mình.</t>
  </si>
  <si>
    <t xml:space="preserve">Ví dụ một dòng đã điền (minh hoạ, không nằm trong bảng dữ liệu)</t>
  </si>
  <si>
    <t xml:space="preserve">TC ID</t>
  </si>
  <si>
    <t xml:space="preserve">TC001</t>
  </si>
  <si>
    <t xml:space="preserve">Kết quả thực tế</t>
  </si>
  <si>
    <t xml:space="preserve">Hiện "Account created! You can now sign in.", ở lại trang đăng ký, DB có 1 bản ghi mới</t>
  </si>
  <si>
    <t xml:space="preserve">Pass</t>
  </si>
  <si>
    <t xml:space="preserve">Bug ID</t>
  </si>
  <si>
    <t xml:space="preserve">(để trống nếu Pass)</t>
  </si>
  <si>
    <t xml:space="preserve">Ngày test</t>
  </si>
  <si>
    <t xml:space="preserve">13/10/2026</t>
  </si>
  <si>
    <t xml:space="preserve">Ảnh chụp (tên file)</t>
  </si>
  <si>
    <t xml:space="preserve">TC001_pass.png</t>
  </si>
  <si>
    <t xml:space="preserve">04_Test_Execution – Nhóm chức năng 1 (M1–M5 + F49) – ANYN</t>
  </si>
  <si>
    <t xml:space="preserve">Người thực hiện: Lâm Hoài An (Functional Tester 1). Cột nền vàng là ô để nhập kết quả. Các cột còn lại lấy từ Checklist_TestCase.xlsx và Review_TestCase_Nhom1.xlsx, không gõ đè.</t>
  </si>
  <si>
    <t xml:space="preserve">Mã CN</t>
  </si>
  <si>
    <t xml:space="preserve">Module</t>
  </si>
  <si>
    <t xml:space="preserve">Chức năng</t>
  </si>
  <si>
    <t xml:space="preserve">Tiêu đề test case</t>
  </si>
  <si>
    <t xml:space="preserve">Ưu tiên</t>
  </si>
  <si>
    <t xml:space="preserve">Điều kiện tiên quyết</t>
  </si>
  <si>
    <t xml:space="preserve">Các bước thực hiện</t>
  </si>
  <si>
    <t xml:space="preserve">Dữ liệu test</t>
  </si>
  <si>
    <t xml:space="preserve">Kết quả mong đợi (bản gốc)</t>
  </si>
  <si>
    <t xml:space="preserve">Mức review</t>
  </si>
  <si>
    <t xml:space="preserve">Điều chỉnh theo review (nếu có)</t>
  </si>
  <si>
    <t xml:space="preserve">F01</t>
  </si>
  <si>
    <t xml:space="preserve">M1 – Tài khoản</t>
  </si>
  <si>
    <t xml:space="preserve">Đăng ký tài khoản</t>
  </si>
  <si>
    <t xml:space="preserve">Đăng ký thành công với dữ liệu hợp lệ</t>
  </si>
  <si>
    <t xml:space="preserve">P1</t>
  </si>
  <si>
    <t xml:space="preserve">Chưa đăng nhập</t>
  </si>
  <si>
    <t xml:space="preserve">1. Mở trang Đăng ký
2. Nhập username, email, mật khẩu hợp lệ
3. Bấm Đăng ký</t>
  </si>
  <si>
    <t xml:space="preserve">user: tester01 / tester01@mail.com / Test1234</t>
  </si>
  <si>
    <t xml:space="preserve">Tạo tài khoản, chuyển sang đăng nhập hoặc vào trang chủ; role = user; DB có 1 bản ghi mới</t>
  </si>
  <si>
    <t xml:space="preserve">Sửa</t>
  </si>
  <si>
    <t xml:space="preserve">Kết quả mong đợi ghi "chuyển sang đăng nhập hoặc vào trang chủ". → Hiện "Account created! You can now sign in."; vẫn ở trang đăng ký, chưa đăng nhập; DB có 1 bản ghi role = user, email lưu chữ thường, mật khẩu là bcrypt hash.</t>
  </si>
  <si>
    <t xml:space="preserve">Not Run</t>
  </si>
  <si>
    <t xml:space="preserve">TC002</t>
  </si>
  <si>
    <t xml:space="preserve">Đăng ký trùng email</t>
  </si>
  <si>
    <t xml:space="preserve">Đã có tài khoản tester01@mail.com</t>
  </si>
  <si>
    <t xml:space="preserve">Đăng ký lại với email đã tồn tại, username khác</t>
  </si>
  <si>
    <t xml:space="preserve">email trùng</t>
  </si>
  <si>
    <t xml:space="preserve">Báo lỗi email đã tồn tại, không tạo tài khoản mới</t>
  </si>
  <si>
    <t xml:space="preserve">Mong đợi "báo lỗi email đã tồn tại" nhưng hệ thống dùng chung một thông báo. → Báo "Username or Email already in use."; không tạo tài khoản; thông báo không cho biết mục nào bị trùng.</t>
  </si>
  <si>
    <t xml:space="preserve">TC003</t>
  </si>
  <si>
    <t xml:space="preserve">Mật khẩu ngắn hơn 8 ký tự</t>
  </si>
  <si>
    <t xml:space="preserve">Nhập mật khẩu 7 ký tự</t>
  </si>
  <si>
    <t xml:space="preserve">Abc1234</t>
  </si>
  <si>
    <t xml:space="preserve">Báo lỗi 'at least 8 characters'</t>
  </si>
  <si>
    <t xml:space="preserve">TC004</t>
  </si>
  <si>
    <t xml:space="preserve">F02</t>
  </si>
  <si>
    <t xml:space="preserve">Đăng nhập</t>
  </si>
  <si>
    <t xml:space="preserve">Đăng nhập đúng</t>
  </si>
  <si>
    <t xml:space="preserve">Có tài khoản user</t>
  </si>
  <si>
    <t xml:space="preserve">Nhập email + mật khẩu đúng</t>
  </si>
  <si>
    <t xml:space="preserve">tester01</t>
  </si>
  <si>
    <t xml:space="preserve">Đăng nhập thành công, header hiện tên/menu người dùng</t>
  </si>
  <si>
    <t xml:space="preserve">TC005</t>
  </si>
  <si>
    <t xml:space="preserve">Đăng nhập sai mật khẩu</t>
  </si>
  <si>
    <t xml:space="preserve">Nhập email đúng, mật khẩu sai</t>
  </si>
  <si>
    <t xml:space="preserve">sai mật khẩu</t>
  </si>
  <si>
    <t xml:space="preserve">Báo lỗi chung, không đăng nhập; không tiết lộ email có tồn tại</t>
  </si>
  <si>
    <t xml:space="preserve">Ghi chú</t>
  </si>
  <si>
    <t xml:space="preserve">Hiện "Invalid email or password."</t>
  </si>
  <si>
    <t xml:space="preserve">TC006</t>
  </si>
  <si>
    <t xml:space="preserve">F03</t>
  </si>
  <si>
    <t xml:space="preserve">Chống dò mật khẩu (throttle)</t>
  </si>
  <si>
    <t xml:space="preserve">Sai 5 lần liên tiếp cùng email</t>
  </si>
  <si>
    <t xml:space="preserve">Đăng nhập sai mật khẩu 5 lần, lần 6 nhập đúng</t>
  </si>
  <si>
    <t xml:space="preserve">15 phút</t>
  </si>
  <si>
    <t xml:space="preserve">Lần 6 bị chặn, có thông báo bị khóa tạm thời</t>
  </si>
  <si>
    <t xml:space="preserve">Lần 6 (dù nhập đúng) hiện "Too many failed attempts. Please wait 15 minutes and try again."</t>
  </si>
  <si>
    <t xml:space="preserve">TC007</t>
  </si>
  <si>
    <t xml:space="preserve">Hết thời gian khóa</t>
  </si>
  <si>
    <t xml:space="preserve">P3</t>
  </si>
  <si>
    <t xml:space="preserve">Đang bị khóa</t>
  </si>
  <si>
    <t xml:space="preserve">Chờ qua 15 phút (hoặc sửa bản ghi login_attempts) rồi đăng nhập</t>
  </si>
  <si>
    <t xml:space="preserve">Đăng nhập lại được</t>
  </si>
  <si>
    <t xml:space="preserve">TC008</t>
  </si>
  <si>
    <t xml:space="preserve">F04</t>
  </si>
  <si>
    <t xml:space="preserve">Đăng xuất</t>
  </si>
  <si>
    <t xml:space="preserve">Đã đăng nhập</t>
  </si>
  <si>
    <t xml:space="preserve">Bấm Đăng xuất, sau đó nhấn nút Back của trình duyệt</t>
  </si>
  <si>
    <t xml:space="preserve">Session bị hủy; Back không vào lại được trang cần đăng nhập</t>
  </si>
  <si>
    <t xml:space="preserve">Nhấn Back có thể hiện trang từ bộ nhớ đệm trình duyệt dù phiên đã hủy, dễ bị nhầm là lỗi. → Sau Back, bấm F5 hoặc bấm một liên kết: phải bị chuyển/chặn vì chưa đăng nhập. Chỉ ghi lỗi nếu F5 vẫn vào được.</t>
  </si>
  <si>
    <t xml:space="preserve">TC009</t>
  </si>
  <si>
    <t xml:space="preserve">F05</t>
  </si>
  <si>
    <t xml:space="preserve">Quên mật khẩu</t>
  </si>
  <si>
    <t xml:space="preserve">Yêu cầu reset với email tồn tại</t>
  </si>
  <si>
    <t xml:space="preserve">Có tài khoản</t>
  </si>
  <si>
    <t xml:space="preserve">Nhập email đúng ở trang Quên mật khẩu</t>
  </si>
  <si>
    <t xml:space="preserve">email hợp lệ</t>
  </si>
  <si>
    <t xml:space="preserve">Có thông báo đã gửi (hoặc hiện link reset khi APP_ENV=development)</t>
  </si>
  <si>
    <t xml:space="preserve">TC010</t>
  </si>
  <si>
    <t xml:space="preserve">Yêu cầu reset với email không tồn tại</t>
  </si>
  <si>
    <t xml:space="preserve">P2</t>
  </si>
  <si>
    <t xml:space="preserve">Nhập email chưa đăng ký</t>
  </si>
  <si>
    <t xml:space="preserve">none@mail.com</t>
  </si>
  <si>
    <t xml:space="preserve">Thông báo trung tính, không lộ email có tồn tại hay không</t>
  </si>
  <si>
    <t xml:space="preserve">Hiện "If that email is registered, a reset link has been sent. It expires in 30 minutes." giống trường hợp email tồn tại.</t>
  </si>
  <si>
    <t xml:space="preserve">TC011</t>
  </si>
  <si>
    <t xml:space="preserve">F06</t>
  </si>
  <si>
    <t xml:space="preserve">Đặt lại mật khẩu bằng token</t>
  </si>
  <si>
    <t xml:space="preserve">Reset bằng token hợp lệ</t>
  </si>
  <si>
    <t xml:space="preserve">Có link reset</t>
  </si>
  <si>
    <t xml:space="preserve">Mở link, nhập mật khẩu mới hợp lệ</t>
  </si>
  <si>
    <t xml:space="preserve">Newpass123</t>
  </si>
  <si>
    <t xml:space="preserve">Đổi mật khẩu thành công, đăng nhập được bằng mật khẩu mới</t>
  </si>
  <si>
    <t xml:space="preserve">TC012</t>
  </si>
  <si>
    <t xml:space="preserve">Dùng lại token đã sử dụng</t>
  </si>
  <si>
    <t xml:space="preserve">Token đã dùng</t>
  </si>
  <si>
    <t xml:space="preserve">Mở lại link reset cũ</t>
  </si>
  <si>
    <t xml:space="preserve">Báo token không hợp lệ/đã dùng</t>
  </si>
  <si>
    <t xml:space="preserve">Hiện "This reset link is invalid or has expired."</t>
  </si>
  <si>
    <t xml:space="preserve">TC013</t>
  </si>
  <si>
    <t xml:space="preserve">F07</t>
  </si>
  <si>
    <t xml:space="preserve">M2 – Phân quyền</t>
  </si>
  <si>
    <t xml:space="preserve">Truy cập theo vai trò Guest/User/Admin</t>
  </si>
  <si>
    <t xml:space="preserve">Guest vào trang cần đăng nhập</t>
  </si>
  <si>
    <t xml:space="preserve">Mở trực tiếp profile.php, commission.php, shop.php, my_commissions.php, submit_idea.php</t>
  </si>
  <si>
    <t xml:space="preserve">URL trực tiếp</t>
  </si>
  <si>
    <t xml:space="preserve">Chuyển hướng về trang đăng nhập</t>
  </si>
  <si>
    <t xml:space="preserve">Mong đợi "chuyển hướng về trang đăng nhập" đúng cho ít trang hơn thực tế. → profile.php: chuyển về login.php. commission/my_commissions/submit_idea: "Access Denied" + liên kết log in. shop/community_upload: "Sign in required". Không lộ dữ liệu người dùng.</t>
  </si>
  <si>
    <t xml:space="preserve">TC014</t>
  </si>
  <si>
    <t xml:space="preserve">Guest vào trang Admin</t>
  </si>
  <si>
    <t xml:space="preserve">Mở admin_bots.php, admin_stats.php, admin_community.php, admin_groups.php, admin_add_bot.php</t>
  </si>
  <si>
    <t xml:space="preserve">Bị chặn (403 hoặc chuyển hướng), không lộ dữ liệu</t>
  </si>
  <si>
    <t xml:space="preserve">Mong đợi "403 hoặc chuyển hướng" quá rộng; hành vi mỗi trang khác nhau. → Ghi mong đợi theo từng trang (thông báo "Access Denied" hoặc chuyển về trang chủ) và ghi lại mã HTTP thực tế.</t>
  </si>
  <si>
    <t xml:space="preserve">TC015</t>
  </si>
  <si>
    <t xml:space="preserve">User thường vào trang Admin</t>
  </si>
  <si>
    <t xml:space="preserve">Đăng nhập user</t>
  </si>
  <si>
    <t xml:space="preserve">Mở từng trang admin_* bằng URL</t>
  </si>
  <si>
    <t xml:space="preserve">Hiện 'Access Denied', mã 403</t>
  </si>
  <si>
    <t xml:space="preserve">Sửa – có thể là lỗi</t>
  </si>
  <si>
    <t xml:space="preserve">Mong đợi theo thiết kế bảo mật: 403 và không lộ dữ liệu. Nếu thực tế là HTTP 200 kèm thông báo "Access Denied": ghi vào Bug Log (mức Low/Medium) và đánh dấu TC là Fail theo tiêu chí mã 403. admin_add_bot chuyển về trang chủ.</t>
  </si>
  <si>
    <t xml:space="preserve">TC016</t>
  </si>
  <si>
    <t xml:space="preserve">Admin truy cập đầy đủ</t>
  </si>
  <si>
    <t xml:space="preserve">Đăng nhập admin</t>
  </si>
  <si>
    <t xml:space="preserve">Mở tất cả trang admin_*</t>
  </si>
  <si>
    <t xml:space="preserve">Truy cập bình thường</t>
  </si>
  <si>
    <t xml:space="preserve">TC017</t>
  </si>
  <si>
    <t xml:space="preserve">F08</t>
  </si>
  <si>
    <t xml:space="preserve">M3 – Trang chủ &amp; Tìm kiếm</t>
  </si>
  <si>
    <t xml:space="preserve">Trang chủ</t>
  </si>
  <si>
    <t xml:space="preserve">Trang chủ hiển thị đầy đủ</t>
  </si>
  <si>
    <t xml:space="preserve">Mở index.php</t>
  </si>
  <si>
    <t xml:space="preserve">Banner, menu, nội dung nổi bật tải đủ, không lỗi PHP/ảnh vỡ</t>
  </si>
  <si>
    <t xml:space="preserve">Ngoài banner và nội dung, đối chiếu các số liệu tổng quan với dữ liệu trong DB.</t>
  </si>
  <si>
    <t xml:space="preserve">TC018</t>
  </si>
  <si>
    <t xml:space="preserve">Điều hướng menu</t>
  </si>
  <si>
    <t xml:space="preserve">Bấm lần lượt các mục menu</t>
  </si>
  <si>
    <t xml:space="preserve">Mỗi mục dẫn đúng trang, không 404</t>
  </si>
  <si>
    <t xml:space="preserve">Test lần lượt với Guest, user, admin; link quản trị chỉ hiện với admin.</t>
  </si>
  <si>
    <t xml:space="preserve">TC019</t>
  </si>
  <si>
    <t xml:space="preserve">F09</t>
  </si>
  <si>
    <t xml:space="preserve">Gợi ý tìm kiếm</t>
  </si>
  <si>
    <t xml:space="preserve">Gợi ý tìm kiếm có kết quả</t>
  </si>
  <si>
    <t xml:space="preserve">Gõ từ khóa có trong dữ liệu</t>
  </si>
  <si>
    <t xml:space="preserve">1-3 ký tự đầu của tên bot</t>
  </si>
  <si>
    <t xml:space="preserve">Danh sách gợi ý hợp lý, định dạng đúng</t>
  </si>
  <si>
    <t xml:space="preserve">Trả JSON gồm id, name, image_url; chỉ khớp tên bot (không khớp mô tả).</t>
  </si>
  <si>
    <t xml:space="preserve">TC020</t>
  </si>
  <si>
    <t xml:space="preserve">Tìm kiếm không có kết quả</t>
  </si>
  <si>
    <t xml:space="preserve">Gõ từ khóa không tồn tại</t>
  </si>
  <si>
    <t xml:space="preserve">zzzzqq</t>
  </si>
  <si>
    <t xml:space="preserve">Trả về rỗng hoặc thông báo, không lỗi</t>
  </si>
  <si>
    <t xml:space="preserve">Gợi ý: mảng rỗng []. Trang chủ: "No characters found. Try a different search."</t>
  </si>
  <si>
    <t xml:space="preserve">TC021</t>
  </si>
  <si>
    <t xml:space="preserve">F10</t>
  </si>
  <si>
    <t xml:space="preserve">Trang giới thiệu</t>
  </si>
  <si>
    <t xml:space="preserve">Trang About</t>
  </si>
  <si>
    <t xml:space="preserve">Mở about.php</t>
  </si>
  <si>
    <t xml:space="preserve">Nội dung hiển thị đúng, link hoạt động</t>
  </si>
  <si>
    <t xml:space="preserve">TC022</t>
  </si>
  <si>
    <t xml:space="preserve">F11</t>
  </si>
  <si>
    <t xml:space="preserve">M4 – Gallery &amp; Bot</t>
  </si>
  <si>
    <t xml:space="preserve">Danh sách Gallery / lọc</t>
  </si>
  <si>
    <t xml:space="preserve">Xem danh sách Gallery</t>
  </si>
  <si>
    <t xml:space="preserve">Mở gallery.php</t>
  </si>
  <si>
    <t xml:space="preserve">Ảnh tải đầy đủ, có phân nhóm</t>
  </si>
  <si>
    <t xml:space="preserve">TC023</t>
  </si>
  <si>
    <t xml:space="preserve">Lọc/ phân trang Gallery</t>
  </si>
  <si>
    <t xml:space="preserve">Dùng bộ lọc và chuyển trang</t>
  </si>
  <si>
    <t xml:space="preserve">Kết quả đúng bộ lọc, không trùng/mất ảnh</t>
  </si>
  <si>
    <t xml:space="preserve">Gallery không có bộ lọc hay phân trang phía server. → Đổi thành: mở rộng/thu gọn nhóm; nhóm trên 4 ảnh chỉ hiện 4 ảnh khi thu gọn, mở rộng thì đủ ảnh, không trùng/mất ảnh.</t>
  </si>
  <si>
    <t xml:space="preserve">TC024</t>
  </si>
  <si>
    <t xml:space="preserve">F12</t>
  </si>
  <si>
    <t xml:space="preserve">Chi tiết nhóm ảnh</t>
  </si>
  <si>
    <t xml:space="preserve">Mở nhóm ảnh hợp lệ</t>
  </si>
  <si>
    <t xml:space="preserve">Bấm vào một nhóm</t>
  </si>
  <si>
    <t xml:space="preserve">id hợp lệ</t>
  </si>
  <si>
    <t xml:space="preserve">Hiển thị các ảnh thuộc nhóm</t>
  </si>
  <si>
    <t xml:space="preserve">Sai nội dung trang: group_detail.php hiển thị bot, không phải ảnh. → Hiển thị các bot (thẻ nhân vật kèm theme) thuộc bộ sưu tập đó.</t>
  </si>
  <si>
    <t xml:space="preserve">TC025</t>
  </si>
  <si>
    <t xml:space="preserve">Nhóm ảnh id không tồn tại / không hợp lệ</t>
  </si>
  <si>
    <t xml:space="preserve">Mở group_detail.php?id=999999 và id=abc</t>
  </si>
  <si>
    <t xml:space="preserve">id lạ</t>
  </si>
  <si>
    <t xml:space="preserve">Thông báo không tìm thấy, không lỗi PHP/SQL</t>
  </si>
  <si>
    <t xml:space="preserve">id=999999 và id=abc: "Collection does not exist!"; không có tham số id: "Collection not found!".</t>
  </si>
  <si>
    <t xml:space="preserve">TC026</t>
  </si>
  <si>
    <t xml:space="preserve">F13</t>
  </si>
  <si>
    <t xml:space="preserve">Chi tiết Bot</t>
  </si>
  <si>
    <t xml:space="preserve">Xem chi tiết Bot</t>
  </si>
  <si>
    <t xml:space="preserve">Mở bot_detail.php?id=&lt;hợp lệ&gt;</t>
  </si>
  <si>
    <t xml:space="preserve">Hiển thị thông tin, tag, điểm, bình luận</t>
  </si>
  <si>
    <t xml:space="preserve">TC027</t>
  </si>
  <si>
    <t xml:space="preserve">Bot id không tồn tại</t>
  </si>
  <si>
    <t xml:space="preserve">Mở id=999999 và id=' OR 1=1</t>
  </si>
  <si>
    <t xml:space="preserve">Xử lý an toàn, không lộ lỗi SQL</t>
  </si>
  <si>
    <t xml:space="preserve">id=999999: thông báo không tìm thấy; id=' OR 1=1 bị ép thành 0 nên xử lý an toàn (chuyển về trang chủ hoặc báo không tìm thấy); không lộ lỗi SQL.</t>
  </si>
  <si>
    <t xml:space="preserve">TC028</t>
  </si>
  <si>
    <t xml:space="preserve">F14</t>
  </si>
  <si>
    <t xml:space="preserve">Chấm điểm Bot</t>
  </si>
  <si>
    <t xml:space="preserve">Chấm điểm hợp lệ</t>
  </si>
  <si>
    <t xml:space="preserve">Chọn điểm và gửi</t>
  </si>
  <si>
    <t xml:space="preserve">điểm 1..5</t>
  </si>
  <si>
    <t xml:space="preserve">Điểm được lưu, điểm trung bình cập nhật</t>
  </si>
  <si>
    <t xml:space="preserve">TC029</t>
  </si>
  <si>
    <t xml:space="preserve">Chấm điểm ngoài khoảng cho phép</t>
  </si>
  <si>
    <t xml:space="preserve">Sửa giá trị score trong DevTools thành 0, 6, -1, 99, 'abc'</t>
  </si>
  <si>
    <t xml:space="preserve">score bất hợp lệ</t>
  </si>
  <si>
    <t xml:space="preserve">Bị từ chối, không lưu</t>
  </si>
  <si>
    <t xml:space="preserve">Ghi nhận hành vi thực tế: điểm bị ép về 1 hoặc 5 và vẫn được lưu. Nếu nhóm coi dữ liệu sai nên bị từ chối thì ghi Bug Log (mức Low) và TC này Fail.</t>
  </si>
  <si>
    <t xml:space="preserve">TC030</t>
  </si>
  <si>
    <t xml:space="preserve">F15</t>
  </si>
  <si>
    <t xml:space="preserve">Thêm bình luận</t>
  </si>
  <si>
    <t xml:space="preserve">Thêm bình luận hợp lệ</t>
  </si>
  <si>
    <t xml:space="preserve">Nhập nội dung, gửi</t>
  </si>
  <si>
    <t xml:space="preserve">Bình luận 1 dòng</t>
  </si>
  <si>
    <t xml:space="preserve">Bình luận xuất hiện đúng người, đúng thời gian</t>
  </si>
  <si>
    <t xml:space="preserve">TC031</t>
  </si>
  <si>
    <t xml:space="preserve">Bình luận rỗng / chỉ khoảng trắng</t>
  </si>
  <si>
    <t xml:space="preserve">Gửi nội dung rỗng</t>
  </si>
  <si>
    <t xml:space="preserve">'   '</t>
  </si>
  <si>
    <t xml:space="preserve">Bị từ chối</t>
  </si>
  <si>
    <t xml:space="preserve">Không tạo bình luận; không có thông báo lỗi (chỉ kiểm tra danh sách không đổi).</t>
  </si>
  <si>
    <t xml:space="preserve">TC032</t>
  </si>
  <si>
    <t xml:space="preserve">F16</t>
  </si>
  <si>
    <t xml:space="preserve">Sửa / xóa bình luận</t>
  </si>
  <si>
    <t xml:space="preserve">Sửa bình luận của mình</t>
  </si>
  <si>
    <t xml:space="preserve">Có bình luận</t>
  </si>
  <si>
    <t xml:space="preserve">Sửa nội dung, lưu</t>
  </si>
  <si>
    <t xml:space="preserve">Nội dung cập nhật, hiện dấu 'đã sửa' (edited_at)</t>
  </si>
  <si>
    <t xml:space="preserve">TC033</t>
  </si>
  <si>
    <t xml:space="preserve">Xóa bình luận của mình</t>
  </si>
  <si>
    <t xml:space="preserve">Xóa</t>
  </si>
  <si>
    <t xml:space="preserve">Bình luận biến mất</t>
  </si>
  <si>
    <t xml:space="preserve">TC034</t>
  </si>
  <si>
    <t xml:space="preserve">Sửa/xóa bình luận của người khác (IDOR)</t>
  </si>
  <si>
    <t xml:space="preserve">2 tài khoản A, B</t>
  </si>
  <si>
    <t xml:space="preserve">Đăng nhập B, gửi POST edit/delete với comment_id của A</t>
  </si>
  <si>
    <t xml:space="preserve">comment_id của A</t>
  </si>
  <si>
    <t xml:space="preserve">Bị từ chối, bình luận của A không đổi</t>
  </si>
  <si>
    <t xml:space="preserve">TC035</t>
  </si>
  <si>
    <t xml:space="preserve">F17</t>
  </si>
  <si>
    <t xml:space="preserve">Thả tim ảnh Gallery</t>
  </si>
  <si>
    <t xml:space="preserve">Bấm tim một ảnh, bấm lại</t>
  </si>
  <si>
    <t xml:space="preserve">Bật/tắt đúng, số lượng cập nhật, không tăng ảo</t>
  </si>
  <si>
    <t xml:space="preserve">Test từng loại: bật/tắt, đổi loại không cộng thêm; lần thả đầu được +2 gems (tối đa 10 lần/ngày).</t>
  </si>
  <si>
    <t xml:space="preserve">TC036</t>
  </si>
  <si>
    <t xml:space="preserve">F18</t>
  </si>
  <si>
    <t xml:space="preserve">M5 – Ideas</t>
  </si>
  <si>
    <t xml:space="preserve">Gửi Idea</t>
  </si>
  <si>
    <t xml:space="preserve">Gửi idea hợp lệ</t>
  </si>
  <si>
    <t xml:space="preserve">Điền form, gửi</t>
  </si>
  <si>
    <t xml:space="preserve">tiêu đề + mô tả</t>
  </si>
  <si>
    <t xml:space="preserve">Idea mới trạng thái open, xuất hiện trong danh sách; nhận gem nhiệm vụ</t>
  </si>
  <si>
    <t xml:space="preserve">TC037</t>
  </si>
  <si>
    <t xml:space="preserve">Gửi idea thiếu trường bắt buộc</t>
  </si>
  <si>
    <t xml:space="preserve">Để trống tiêu đề/mô tả</t>
  </si>
  <si>
    <t xml:space="preserve">(trống)</t>
  </si>
  <si>
    <t xml:space="preserve">Báo lỗi, không lưu</t>
  </si>
  <si>
    <t xml:space="preserve">Gỡ required bằng DevTools; mong đợi thông báo trên.</t>
  </si>
  <si>
    <t xml:space="preserve">TC038</t>
  </si>
  <si>
    <t xml:space="preserve">F19</t>
  </si>
  <si>
    <t xml:space="preserve">Sửa Idea</t>
  </si>
  <si>
    <t xml:space="preserve">Sửa idea của mình</t>
  </si>
  <si>
    <t xml:space="preserve">Có idea</t>
  </si>
  <si>
    <t xml:space="preserve">Sửa tiêu đề, lưu</t>
  </si>
  <si>
    <t xml:space="preserve">Nội dung cập nhật</t>
  </si>
  <si>
    <t xml:space="preserve">TC039</t>
  </si>
  <si>
    <t xml:space="preserve">Sửa idea của người khác</t>
  </si>
  <si>
    <t xml:space="preserve">2 tài khoản</t>
  </si>
  <si>
    <t xml:space="preserve">Mở edit_idea.php?id=&lt;idea của người khác&gt;</t>
  </si>
  <si>
    <t xml:space="preserve">id của người khác</t>
  </si>
  <si>
    <t xml:space="preserve">Chuyển về ideas.php?error=forbidden: "You can only edit or delete your own open ideas."; idea của người kia không đổi.</t>
  </si>
  <si>
    <t xml:space="preserve">TC040</t>
  </si>
  <si>
    <t xml:space="preserve">F20</t>
  </si>
  <si>
    <t xml:space="preserve">Xóa Idea</t>
  </si>
  <si>
    <t xml:space="preserve">Xóa idea của mình</t>
  </si>
  <si>
    <t xml:space="preserve">Xóa, xác nhận</t>
  </si>
  <si>
    <t xml:space="preserve">Idea biến mất</t>
  </si>
  <si>
    <t xml:space="preserve">TC041</t>
  </si>
  <si>
    <t xml:space="preserve">Xóa idea của người khác</t>
  </si>
  <si>
    <t xml:space="preserve">POST delete_idea_id của người khác</t>
  </si>
  <si>
    <t xml:space="preserve">TC042</t>
  </si>
  <si>
    <t xml:space="preserve">F21</t>
  </si>
  <si>
    <t xml:space="preserve">Upvote Idea</t>
  </si>
  <si>
    <t xml:space="preserve">Upvote idea lần đầu</t>
  </si>
  <si>
    <t xml:space="preserve">Bấm upvote</t>
  </si>
  <si>
    <t xml:space="preserve">Số upvote +1</t>
  </si>
  <si>
    <t xml:space="preserve">TC043</t>
  </si>
  <si>
    <t xml:space="preserve">Upvote cùng idea hai lần / bấm nhanh</t>
  </si>
  <si>
    <t xml:space="preserve">Đã upvote</t>
  </si>
  <si>
    <t xml:space="preserve">Bấm lại và bấm đúp nhanh</t>
  </si>
  <si>
    <t xml:space="preserve">Không tăng quá 1 lượt/người; không nhận gem trùng</t>
  </si>
  <si>
    <t xml:space="preserve">Không tăng quá 1 lượt, không nhận gem trùng. Nếu bấm đúp ra trang lỗi PHP/SQL thì ghi Bug Log.</t>
  </si>
  <si>
    <t xml:space="preserve">TC044</t>
  </si>
  <si>
    <t xml:space="preserve">F22</t>
  </si>
  <si>
    <t xml:space="preserve">Quy trình trạng thái Idea</t>
  </si>
  <si>
    <t xml:space="preserve">Chuyển open → in_progress → completed</t>
  </si>
  <si>
    <t xml:space="preserve">Đặt in_progress, rồi completed, chọn bot và chế độ hiển thị</t>
  </si>
  <si>
    <t xml:space="preserve">bot_visibility published/unlisted</t>
  </si>
  <si>
    <t xml:space="preserve">Trạng thái đổi đúng, completed_at được ghi</t>
  </si>
  <si>
    <t xml:space="preserve">Published không chọn bot vẫn hoàn thành; Unlisted bắt buộc có link. completed_at được ghi.</t>
  </si>
  <si>
    <t xml:space="preserve">TC045</t>
  </si>
  <si>
    <t xml:space="preserve">User thường đổi trạng thái idea</t>
  </si>
  <si>
    <t xml:space="preserve">POST idea_complete</t>
  </si>
  <si>
    <t xml:space="preserve">TC046</t>
  </si>
  <si>
    <t xml:space="preserve">Link unlisted không hợp lệ</t>
  </si>
  <si>
    <t xml:space="preserve">Nhập unlisted_link 'javascript:alert(1)'</t>
  </si>
  <si>
    <t xml:space="preserve">javascript:</t>
  </si>
  <si>
    <t xml:space="preserve">Bị từ chối (chỉ nhận http/https)</t>
  </si>
  <si>
    <t xml:space="preserve">Gửi POST trực tiếp với "javascript:alert(1)": thực tế được lưu. Rủi ro thấp (chỉ admin nhập) nhưng thiếu kiểm tra phía server; ghi Bug Log (Low) nếu xác nhận.</t>
  </si>
  <si>
    <t xml:space="preserve">TC047</t>
  </si>
  <si>
    <t xml:space="preserve">F23</t>
  </si>
  <si>
    <t xml:space="preserve">Danh sách Ideas</t>
  </si>
  <si>
    <t xml:space="preserve">Hiển thị thông báo msg / error</t>
  </si>
  <si>
    <t xml:space="preserve">Mở ideas.php?msg=&lt;script&gt;alert(1)&lt;/script&gt;</t>
  </si>
  <si>
    <t xml:space="preserve">tham số msg</t>
  </si>
  <si>
    <t xml:space="preserve">Được escape, không chạy script</t>
  </si>
  <si>
    <t xml:space="preserve">Giá trị lạ không hiển thị gì; không có script chạy.</t>
  </si>
  <si>
    <t xml:space="preserve">TC048</t>
  </si>
  <si>
    <t xml:space="preserve">Danh sách ideas theo thứ tự/ lọc</t>
  </si>
  <si>
    <t xml:space="preserve">Xem và lọc theo trạng thái</t>
  </si>
  <si>
    <t xml:space="preserve">Đúng bộ lọc và thứ tự</t>
  </si>
  <si>
    <t xml:space="preserve">ideas.php không có tham số lọc phía server. → Đổi thành: kiểm tra các nhóm trạng thái và thứ tự (Completed theo completed_at mới nhất). Nếu giao diện có tab lọc thì test thủ công.</t>
  </si>
  <si>
    <t xml:space="preserve">TC097</t>
  </si>
  <si>
    <t xml:space="preserve">F49</t>
  </si>
  <si>
    <t xml:space="preserve">M11 – Phi chức năng</t>
  </si>
  <si>
    <t xml:space="preserve">Bộ lọc nội dung cấm</t>
  </si>
  <si>
    <t xml:space="preserve">Biến thể tag cấm</t>
  </si>
  <si>
    <t xml:space="preserve">Admin</t>
  </si>
  <si>
    <t xml:space="preserve">Nhập 'Net-ori', 'NETORI', 'n.t.r', ' ntr '</t>
  </si>
  <si>
    <t xml:space="preserve">các biến thể</t>
  </si>
  <si>
    <t xml:space="preserve">Bị chặn theo chuẩn hóa; ghi nhận biến thể lọt qua</t>
  </si>
  <si>
    <r>
      <rPr>
        <sz val="10"/>
        <rFont val="Arial"/>
        <family val="0"/>
        <charset val="1"/>
      </rPr>
      <t xml:space="preserve">"Net-ori", "NETORI", "n.t.r", " ntr " đều bị chặn. Thử thêm "ntr2", "n3tori", "netori-fic", "</t>
    </r>
    <r>
      <rPr>
        <sz val="10"/>
        <rFont val="Noto Sans CJK SC"/>
        <family val="2"/>
      </rPr>
      <t xml:space="preserve">ｎｔｒ</t>
    </r>
    <r>
      <rPr>
        <sz val="10"/>
        <rFont val="Arial"/>
        <family val="0"/>
        <charset val="1"/>
      </rPr>
      <t xml:space="preserve">" (full-width): chuỗi sau chuẩn hóa không trùng danh sách nên có thể lọt qua; ghi nhận biến thể lọt vào Ghi chú/Bug Log. Bộ lọc chỉ áp dụng cho theme (admin_bots, index).</t>
    </r>
  </si>
  <si>
    <t xml:space="preserve">Tổng hợp thực thi – Nhóm 1 (tự cập nhật)</t>
  </si>
  <si>
    <t xml:space="preserve">Chỉ chép số vào báo cáo, không gõ đè. Cách tính giống sheet Test Summary trong Checklist_TestCase.xlsx (Đã thực thi = Tổng − Not Run).</t>
  </si>
  <si>
    <t xml:space="preserve">Tổng số TC</t>
  </si>
  <si>
    <t xml:space="preserve">Đã thực thi</t>
  </si>
  <si>
    <t xml:space="preserve">Fail</t>
  </si>
  <si>
    <t xml:space="preserve">Blocked</t>
  </si>
  <si>
    <t xml:space="preserve">N/A</t>
  </si>
  <si>
    <t xml:space="preserve">Tỷ lệ thực thi</t>
  </si>
  <si>
    <t xml:space="preserve">Tỷ lệ Pass (trên số đã chạy)</t>
  </si>
  <si>
    <t xml:space="preserve">Tỷ lệ Fail (trên số đã chạy)</t>
  </si>
  <si>
    <t xml:space="preserve">Theo mức ưu tiên</t>
  </si>
  <si>
    <t xml:space="preserve">Tổng</t>
  </si>
  <si>
    <t xml:space="preserve">Đã chạy</t>
  </si>
  <si>
    <t xml:space="preserve">Theo module</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</si>
</sst>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i val="true"/>
      <sz val="10"/>
      <name val="Arial"/>
      <family val="0"/>
      <charset val="1"/>
    </font>
    <font>
      <b val="true"/>
      <sz val="10"/>
      <color rgb="FFFFFFFF"/>
      <name val="Arial"/>
      <family val="0"/>
      <charset val="1"/>
    </font>
    <font>
      <sz val="10"/>
      <name val="Noto Sans CJK SC"/>
      <family val="2"/>
    </font>
    <font>
      <b val="true"/>
      <sz val="11"/>
      <name val="Arial"/>
      <family val="0"/>
      <charset val="1"/>
    </font>
  </fonts>
  <fills count="5">
    <fill>
      <patternFill patternType="none"/>
    </fill>
    <fill>
      <patternFill patternType="gray125"/>
    </fill>
    <fill>
      <patternFill patternType="solid">
        <fgColor rgb="FFFFF2CC"/>
        <bgColor rgb="FFFCE4D6"/>
      </patternFill>
    </fill>
    <fill>
      <patternFill patternType="solid">
        <fgColor rgb="FF1F3864"/>
        <bgColor rgb="FF333333"/>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5" fontId="6" fillId="2"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FFF2CC"/>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0"/>
  </cols>
  <sheetData>
    <row r="1" customFormat="false" ht="17.35" hidden="false" customHeight="false" outlineLevel="0" collapsed="false">
      <c r="A1" s="1" t="s">
        <v>0</v>
      </c>
    </row>
    <row r="3" customFormat="false" ht="27.75" hidden="false" customHeight="true" outlineLevel="0" collapsed="false">
      <c r="A3" s="2" t="s">
        <v>1</v>
      </c>
      <c r="B3" s="3" t="s">
        <v>2</v>
      </c>
    </row>
    <row r="4" customFormat="false" ht="18" hidden="false" customHeight="true" outlineLevel="0" collapsed="false">
      <c r="A4" s="2" t="s">
        <v>3</v>
      </c>
      <c r="B4" s="3" t="s">
        <v>4</v>
      </c>
    </row>
    <row r="5" customFormat="false" ht="42" hidden="false" customHeight="true" outlineLevel="0" collapsed="false">
      <c r="A5" s="2" t="s">
        <v>5</v>
      </c>
      <c r="B5" s="3" t="s">
        <v>6</v>
      </c>
    </row>
    <row r="6" customFormat="false" ht="27.75" hidden="false" customHeight="true" outlineLevel="0" collapsed="false">
      <c r="A6" s="2" t="s">
        <v>7</v>
      </c>
      <c r="B6" s="3" t="s">
        <v>8</v>
      </c>
    </row>
    <row r="7" customFormat="false" ht="27.75" hidden="false" customHeight="true" outlineLevel="0" collapsed="false">
      <c r="A7" s="2" t="s">
        <v>9</v>
      </c>
      <c r="B7" s="3" t="s">
        <v>10</v>
      </c>
    </row>
    <row r="8" customFormat="false" ht="18" hidden="false" customHeight="true" outlineLevel="0" collapsed="false">
      <c r="A8" s="2" t="s">
        <v>11</v>
      </c>
      <c r="B8" s="3" t="s">
        <v>12</v>
      </c>
    </row>
    <row r="9" customFormat="false" ht="18" hidden="false" customHeight="true" outlineLevel="0" collapsed="false">
      <c r="A9" s="2" t="s">
        <v>13</v>
      </c>
      <c r="B9" s="3" t="s">
        <v>14</v>
      </c>
    </row>
    <row r="10" customFormat="false" ht="27.75" hidden="false" customHeight="true" outlineLevel="0" collapsed="false">
      <c r="A10" s="2" t="s">
        <v>15</v>
      </c>
      <c r="B10" s="3" t="s">
        <v>16</v>
      </c>
    </row>
    <row r="12" customFormat="false" ht="15" hidden="false" customHeight="false" outlineLevel="0" collapsed="false">
      <c r="A12" s="4" t="s">
        <v>17</v>
      </c>
      <c r="B12" s="4"/>
    </row>
    <row r="13" customFormat="false" ht="15" hidden="false" customHeight="false" outlineLevel="0" collapsed="false">
      <c r="A13" s="5" t="s">
        <v>18</v>
      </c>
      <c r="B13" s="6" t="s">
        <v>19</v>
      </c>
    </row>
    <row r="14" customFormat="false" ht="15" hidden="false" customHeight="false" outlineLevel="0" collapsed="false">
      <c r="A14" s="5" t="s">
        <v>20</v>
      </c>
      <c r="B14" s="6" t="s">
        <v>21</v>
      </c>
    </row>
    <row r="15" customFormat="false" ht="15" hidden="false" customHeight="false" outlineLevel="0" collapsed="false">
      <c r="A15" s="5" t="s">
        <v>7</v>
      </c>
      <c r="B15" s="6" t="s">
        <v>22</v>
      </c>
    </row>
    <row r="16" customFormat="false" ht="15" hidden="false" customHeight="false" outlineLevel="0" collapsed="false">
      <c r="A16" s="5" t="s">
        <v>23</v>
      </c>
      <c r="B16" s="6" t="s">
        <v>24</v>
      </c>
    </row>
    <row r="17" customFormat="false" ht="15" hidden="false" customHeight="false" outlineLevel="0" collapsed="false">
      <c r="A17" s="5" t="s">
        <v>25</v>
      </c>
      <c r="B17" s="6" t="s">
        <v>26</v>
      </c>
    </row>
    <row r="18" customFormat="false" ht="15" hidden="false" customHeight="false" outlineLevel="0" collapsed="false">
      <c r="A18" s="5" t="s">
        <v>27</v>
      </c>
      <c r="B18" s="6" t="s">
        <v>28</v>
      </c>
    </row>
  </sheetData>
  <mergeCells count="1">
    <mergeCell ref="A12:B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3" min="3" style="0" width="16"/>
    <col collapsed="false" customWidth="true" hidden="false" outlineLevel="0" max="4" min="4" style="0" width="20"/>
    <col collapsed="false" customWidth="true" hidden="false" outlineLevel="0" max="5" min="5" style="0" width="30"/>
    <col collapsed="false" customWidth="true" hidden="false" outlineLevel="0" max="6" min="6" style="0" width="8"/>
    <col collapsed="false" customWidth="true" hidden="false" outlineLevel="0" max="7" min="7" style="0" width="22"/>
    <col collapsed="false" customWidth="true" hidden="false" outlineLevel="0" max="8" min="8" style="0" width="42"/>
    <col collapsed="false" customWidth="true" hidden="false" outlineLevel="0" max="9" min="9" style="0" width="26"/>
    <col collapsed="false" customWidth="true" hidden="false" outlineLevel="0" max="10" min="10" style="0" width="32"/>
    <col collapsed="false" customWidth="true" hidden="false" outlineLevel="0" max="11" min="11" style="0" width="9"/>
    <col collapsed="false" customWidth="true" hidden="false" outlineLevel="0" max="12" min="12" style="0" width="44"/>
    <col collapsed="false" customWidth="true" hidden="false" outlineLevel="0" max="13" min="13" style="0" width="32"/>
    <col collapsed="false" customWidth="true" hidden="false" outlineLevel="0" max="14" min="14" style="0" width="11"/>
    <col collapsed="false" customWidth="true" hidden="false" outlineLevel="0" max="15" min="15" style="0" width="10"/>
    <col collapsed="false" customWidth="true" hidden="false" outlineLevel="0" max="16" min="16" style="0" width="12"/>
    <col collapsed="false" customWidth="true" hidden="false" outlineLevel="0" max="17" min="17" style="0" width="20"/>
  </cols>
  <sheetData>
    <row r="1" customFormat="false" ht="17.35" hidden="false" customHeight="false" outlineLevel="0" collapsed="false">
      <c r="A1" s="1" t="s">
        <v>29</v>
      </c>
    </row>
    <row r="2" customFormat="false" ht="15" hidden="false" customHeight="false" outlineLevel="0" collapsed="false">
      <c r="A2" s="7" t="s">
        <v>30</v>
      </c>
      <c r="B2" s="7"/>
      <c r="C2" s="7"/>
      <c r="D2" s="7"/>
      <c r="E2" s="7"/>
      <c r="F2" s="7"/>
      <c r="G2" s="7"/>
      <c r="H2" s="7"/>
      <c r="I2" s="7"/>
      <c r="J2" s="7"/>
      <c r="K2" s="7"/>
      <c r="L2" s="7"/>
      <c r="M2" s="7"/>
      <c r="N2" s="7"/>
      <c r="O2" s="7"/>
      <c r="P2" s="7"/>
      <c r="Q2" s="7"/>
    </row>
    <row r="4" customFormat="false" ht="31.5" hidden="false" customHeight="true" outlineLevel="0" collapsed="false">
      <c r="A4" s="8" t="s">
        <v>18</v>
      </c>
      <c r="B4" s="8" t="s">
        <v>31</v>
      </c>
      <c r="C4" s="8" t="s">
        <v>32</v>
      </c>
      <c r="D4" s="8" t="s">
        <v>33</v>
      </c>
      <c r="E4" s="8" t="s">
        <v>34</v>
      </c>
      <c r="F4" s="8" t="s">
        <v>35</v>
      </c>
      <c r="G4" s="8" t="s">
        <v>36</v>
      </c>
      <c r="H4" s="8" t="s">
        <v>37</v>
      </c>
      <c r="I4" s="8" t="s">
        <v>38</v>
      </c>
      <c r="J4" s="8" t="s">
        <v>39</v>
      </c>
      <c r="K4" s="8" t="s">
        <v>40</v>
      </c>
      <c r="L4" s="8" t="s">
        <v>41</v>
      </c>
      <c r="M4" s="8" t="s">
        <v>20</v>
      </c>
      <c r="N4" s="8" t="s">
        <v>7</v>
      </c>
      <c r="O4" s="8" t="s">
        <v>23</v>
      </c>
      <c r="P4" s="8" t="s">
        <v>25</v>
      </c>
      <c r="Q4" s="8" t="s">
        <v>27</v>
      </c>
    </row>
    <row r="5" customFormat="false" ht="64.5" hidden="false" customHeight="true" outlineLevel="0" collapsed="false">
      <c r="A5" s="9" t="s">
        <v>19</v>
      </c>
      <c r="B5" s="9" t="s">
        <v>42</v>
      </c>
      <c r="C5" s="10" t="s">
        <v>43</v>
      </c>
      <c r="D5" s="10" t="s">
        <v>44</v>
      </c>
      <c r="E5" s="10" t="s">
        <v>45</v>
      </c>
      <c r="F5" s="9" t="s">
        <v>46</v>
      </c>
      <c r="G5" s="10" t="s">
        <v>47</v>
      </c>
      <c r="H5" s="10" t="s">
        <v>48</v>
      </c>
      <c r="I5" s="10" t="s">
        <v>49</v>
      </c>
      <c r="J5" s="10" t="s">
        <v>50</v>
      </c>
      <c r="K5" s="9" t="s">
        <v>51</v>
      </c>
      <c r="L5" s="11" t="s">
        <v>52</v>
      </c>
      <c r="M5" s="6"/>
      <c r="N5" s="12" t="s">
        <v>53</v>
      </c>
      <c r="O5" s="12"/>
      <c r="P5" s="13"/>
      <c r="Q5" s="6"/>
    </row>
    <row r="6" customFormat="false" ht="51.75" hidden="false" customHeight="true" outlineLevel="0" collapsed="false">
      <c r="A6" s="9" t="s">
        <v>54</v>
      </c>
      <c r="B6" s="9" t="s">
        <v>42</v>
      </c>
      <c r="C6" s="10" t="s">
        <v>43</v>
      </c>
      <c r="D6" s="10" t="s">
        <v>44</v>
      </c>
      <c r="E6" s="10" t="s">
        <v>55</v>
      </c>
      <c r="F6" s="9" t="s">
        <v>46</v>
      </c>
      <c r="G6" s="10" t="s">
        <v>56</v>
      </c>
      <c r="H6" s="10" t="s">
        <v>57</v>
      </c>
      <c r="I6" s="10" t="s">
        <v>58</v>
      </c>
      <c r="J6" s="10" t="s">
        <v>59</v>
      </c>
      <c r="K6" s="9" t="s">
        <v>51</v>
      </c>
      <c r="L6" s="11" t="s">
        <v>60</v>
      </c>
      <c r="M6" s="6"/>
      <c r="N6" s="12" t="s">
        <v>53</v>
      </c>
      <c r="O6" s="12"/>
      <c r="P6" s="13"/>
      <c r="Q6" s="6"/>
    </row>
    <row r="7" customFormat="false" ht="30" hidden="false" customHeight="true" outlineLevel="0" collapsed="false">
      <c r="A7" s="9" t="s">
        <v>61</v>
      </c>
      <c r="B7" s="9" t="s">
        <v>42</v>
      </c>
      <c r="C7" s="10" t="s">
        <v>43</v>
      </c>
      <c r="D7" s="10" t="s">
        <v>44</v>
      </c>
      <c r="E7" s="10" t="s">
        <v>62</v>
      </c>
      <c r="F7" s="9" t="s">
        <v>46</v>
      </c>
      <c r="G7" s="10"/>
      <c r="H7" s="10" t="s">
        <v>63</v>
      </c>
      <c r="I7" s="10" t="s">
        <v>64</v>
      </c>
      <c r="J7" s="10" t="s">
        <v>65</v>
      </c>
      <c r="K7" s="9"/>
      <c r="L7" s="10"/>
      <c r="M7" s="6"/>
      <c r="N7" s="12" t="s">
        <v>53</v>
      </c>
      <c r="O7" s="12"/>
      <c r="P7" s="13"/>
      <c r="Q7" s="6"/>
    </row>
    <row r="8" customFormat="false" ht="30" hidden="false" customHeight="true" outlineLevel="0" collapsed="false">
      <c r="A8" s="9" t="s">
        <v>66</v>
      </c>
      <c r="B8" s="9" t="s">
        <v>67</v>
      </c>
      <c r="C8" s="10" t="s">
        <v>43</v>
      </c>
      <c r="D8" s="10" t="s">
        <v>68</v>
      </c>
      <c r="E8" s="10" t="s">
        <v>69</v>
      </c>
      <c r="F8" s="9" t="s">
        <v>46</v>
      </c>
      <c r="G8" s="10" t="s">
        <v>70</v>
      </c>
      <c r="H8" s="10" t="s">
        <v>71</v>
      </c>
      <c r="I8" s="10" t="s">
        <v>72</v>
      </c>
      <c r="J8" s="10" t="s">
        <v>73</v>
      </c>
      <c r="K8" s="9"/>
      <c r="L8" s="10"/>
      <c r="M8" s="6"/>
      <c r="N8" s="12" t="s">
        <v>53</v>
      </c>
      <c r="O8" s="12"/>
      <c r="P8" s="13"/>
      <c r="Q8" s="6"/>
    </row>
    <row r="9" customFormat="false" ht="30" hidden="false" customHeight="true" outlineLevel="0" collapsed="false">
      <c r="A9" s="9" t="s">
        <v>74</v>
      </c>
      <c r="B9" s="9" t="s">
        <v>67</v>
      </c>
      <c r="C9" s="10" t="s">
        <v>43</v>
      </c>
      <c r="D9" s="10" t="s">
        <v>68</v>
      </c>
      <c r="E9" s="10" t="s">
        <v>75</v>
      </c>
      <c r="F9" s="9" t="s">
        <v>46</v>
      </c>
      <c r="G9" s="10" t="s">
        <v>70</v>
      </c>
      <c r="H9" s="10" t="s">
        <v>76</v>
      </c>
      <c r="I9" s="10" t="s">
        <v>77</v>
      </c>
      <c r="J9" s="10" t="s">
        <v>78</v>
      </c>
      <c r="K9" s="9" t="s">
        <v>79</v>
      </c>
      <c r="L9" s="11" t="s">
        <v>80</v>
      </c>
      <c r="M9" s="6"/>
      <c r="N9" s="12" t="s">
        <v>53</v>
      </c>
      <c r="O9" s="12"/>
      <c r="P9" s="13"/>
      <c r="Q9" s="6"/>
    </row>
    <row r="10" customFormat="false" ht="30" hidden="false" customHeight="true" outlineLevel="0" collapsed="false">
      <c r="A10" s="9" t="s">
        <v>81</v>
      </c>
      <c r="B10" s="9" t="s">
        <v>82</v>
      </c>
      <c r="C10" s="10" t="s">
        <v>43</v>
      </c>
      <c r="D10" s="10" t="s">
        <v>83</v>
      </c>
      <c r="E10" s="10" t="s">
        <v>84</v>
      </c>
      <c r="F10" s="9" t="s">
        <v>46</v>
      </c>
      <c r="G10" s="10" t="s">
        <v>70</v>
      </c>
      <c r="H10" s="10" t="s">
        <v>85</v>
      </c>
      <c r="I10" s="10" t="s">
        <v>86</v>
      </c>
      <c r="J10" s="10" t="s">
        <v>87</v>
      </c>
      <c r="K10" s="9" t="s">
        <v>79</v>
      </c>
      <c r="L10" s="11" t="s">
        <v>88</v>
      </c>
      <c r="M10" s="6"/>
      <c r="N10" s="12" t="s">
        <v>53</v>
      </c>
      <c r="O10" s="12"/>
      <c r="P10" s="13"/>
      <c r="Q10" s="6"/>
    </row>
    <row r="11" customFormat="false" ht="30" hidden="false" customHeight="true" outlineLevel="0" collapsed="false">
      <c r="A11" s="9" t="s">
        <v>89</v>
      </c>
      <c r="B11" s="9" t="s">
        <v>82</v>
      </c>
      <c r="C11" s="10" t="s">
        <v>43</v>
      </c>
      <c r="D11" s="10" t="s">
        <v>83</v>
      </c>
      <c r="E11" s="10" t="s">
        <v>90</v>
      </c>
      <c r="F11" s="9" t="s">
        <v>91</v>
      </c>
      <c r="G11" s="10" t="s">
        <v>92</v>
      </c>
      <c r="H11" s="10" t="s">
        <v>93</v>
      </c>
      <c r="I11" s="10"/>
      <c r="J11" s="10" t="s">
        <v>94</v>
      </c>
      <c r="K11" s="9"/>
      <c r="L11" s="10"/>
      <c r="M11" s="6"/>
      <c r="N11" s="12" t="s">
        <v>53</v>
      </c>
      <c r="O11" s="12"/>
      <c r="P11" s="13"/>
      <c r="Q11" s="6"/>
    </row>
    <row r="12" customFormat="false" ht="64.5" hidden="false" customHeight="true" outlineLevel="0" collapsed="false">
      <c r="A12" s="9" t="s">
        <v>95</v>
      </c>
      <c r="B12" s="9" t="s">
        <v>96</v>
      </c>
      <c r="C12" s="10" t="s">
        <v>43</v>
      </c>
      <c r="D12" s="10" t="s">
        <v>97</v>
      </c>
      <c r="E12" s="10" t="s">
        <v>97</v>
      </c>
      <c r="F12" s="9" t="s">
        <v>46</v>
      </c>
      <c r="G12" s="10" t="s">
        <v>98</v>
      </c>
      <c r="H12" s="10" t="s">
        <v>99</v>
      </c>
      <c r="I12" s="10"/>
      <c r="J12" s="10" t="s">
        <v>100</v>
      </c>
      <c r="K12" s="9" t="s">
        <v>51</v>
      </c>
      <c r="L12" s="11" t="s">
        <v>101</v>
      </c>
      <c r="M12" s="6"/>
      <c r="N12" s="12" t="s">
        <v>53</v>
      </c>
      <c r="O12" s="12"/>
      <c r="P12" s="13"/>
      <c r="Q12" s="6"/>
    </row>
    <row r="13" customFormat="false" ht="30" hidden="false" customHeight="true" outlineLevel="0" collapsed="false">
      <c r="A13" s="9" t="s">
        <v>102</v>
      </c>
      <c r="B13" s="9" t="s">
        <v>103</v>
      </c>
      <c r="C13" s="10" t="s">
        <v>43</v>
      </c>
      <c r="D13" s="10" t="s">
        <v>104</v>
      </c>
      <c r="E13" s="10" t="s">
        <v>105</v>
      </c>
      <c r="F13" s="9" t="s">
        <v>46</v>
      </c>
      <c r="G13" s="10" t="s">
        <v>106</v>
      </c>
      <c r="H13" s="10" t="s">
        <v>107</v>
      </c>
      <c r="I13" s="10" t="s">
        <v>108</v>
      </c>
      <c r="J13" s="10" t="s">
        <v>109</v>
      </c>
      <c r="K13" s="9"/>
      <c r="L13" s="10"/>
      <c r="M13" s="6"/>
      <c r="N13" s="12" t="s">
        <v>53</v>
      </c>
      <c r="O13" s="12"/>
      <c r="P13" s="13"/>
      <c r="Q13" s="6"/>
    </row>
    <row r="14" customFormat="false" ht="39" hidden="false" customHeight="true" outlineLevel="0" collapsed="false">
      <c r="A14" s="9" t="s">
        <v>110</v>
      </c>
      <c r="B14" s="9" t="s">
        <v>103</v>
      </c>
      <c r="C14" s="10" t="s">
        <v>43</v>
      </c>
      <c r="D14" s="10" t="s">
        <v>104</v>
      </c>
      <c r="E14" s="10" t="s">
        <v>111</v>
      </c>
      <c r="F14" s="9" t="s">
        <v>112</v>
      </c>
      <c r="G14" s="10"/>
      <c r="H14" s="10" t="s">
        <v>113</v>
      </c>
      <c r="I14" s="10" t="s">
        <v>114</v>
      </c>
      <c r="J14" s="10" t="s">
        <v>115</v>
      </c>
      <c r="K14" s="9" t="s">
        <v>79</v>
      </c>
      <c r="L14" s="11" t="s">
        <v>116</v>
      </c>
      <c r="M14" s="6"/>
      <c r="N14" s="12" t="s">
        <v>53</v>
      </c>
      <c r="O14" s="12"/>
      <c r="P14" s="13"/>
      <c r="Q14" s="6"/>
    </row>
    <row r="15" customFormat="false" ht="30" hidden="false" customHeight="true" outlineLevel="0" collapsed="false">
      <c r="A15" s="9" t="s">
        <v>117</v>
      </c>
      <c r="B15" s="9" t="s">
        <v>118</v>
      </c>
      <c r="C15" s="10" t="s">
        <v>43</v>
      </c>
      <c r="D15" s="10" t="s">
        <v>119</v>
      </c>
      <c r="E15" s="10" t="s">
        <v>120</v>
      </c>
      <c r="F15" s="9" t="s">
        <v>46</v>
      </c>
      <c r="G15" s="10" t="s">
        <v>121</v>
      </c>
      <c r="H15" s="10" t="s">
        <v>122</v>
      </c>
      <c r="I15" s="10" t="s">
        <v>123</v>
      </c>
      <c r="J15" s="10" t="s">
        <v>124</v>
      </c>
      <c r="K15" s="9"/>
      <c r="L15" s="10"/>
      <c r="M15" s="6"/>
      <c r="N15" s="12" t="s">
        <v>53</v>
      </c>
      <c r="O15" s="12"/>
      <c r="P15" s="13"/>
      <c r="Q15" s="6"/>
    </row>
    <row r="16" customFormat="false" ht="30" hidden="false" customHeight="true" outlineLevel="0" collapsed="false">
      <c r="A16" s="9" t="s">
        <v>125</v>
      </c>
      <c r="B16" s="9" t="s">
        <v>118</v>
      </c>
      <c r="C16" s="10" t="s">
        <v>43</v>
      </c>
      <c r="D16" s="10" t="s">
        <v>119</v>
      </c>
      <c r="E16" s="10" t="s">
        <v>126</v>
      </c>
      <c r="F16" s="9" t="s">
        <v>46</v>
      </c>
      <c r="G16" s="10" t="s">
        <v>127</v>
      </c>
      <c r="H16" s="10" t="s">
        <v>128</v>
      </c>
      <c r="I16" s="10"/>
      <c r="J16" s="10" t="s">
        <v>129</v>
      </c>
      <c r="K16" s="9" t="s">
        <v>79</v>
      </c>
      <c r="L16" s="11" t="s">
        <v>130</v>
      </c>
      <c r="M16" s="6"/>
      <c r="N16" s="12" t="s">
        <v>53</v>
      </c>
      <c r="O16" s="12"/>
      <c r="P16" s="13"/>
      <c r="Q16" s="6"/>
    </row>
    <row r="17" customFormat="false" ht="78" hidden="false" customHeight="true" outlineLevel="0" collapsed="false">
      <c r="A17" s="9" t="s">
        <v>131</v>
      </c>
      <c r="B17" s="9" t="s">
        <v>132</v>
      </c>
      <c r="C17" s="10" t="s">
        <v>133</v>
      </c>
      <c r="D17" s="10" t="s">
        <v>134</v>
      </c>
      <c r="E17" s="10" t="s">
        <v>135</v>
      </c>
      <c r="F17" s="9" t="s">
        <v>46</v>
      </c>
      <c r="G17" s="10" t="s">
        <v>47</v>
      </c>
      <c r="H17" s="10" t="s">
        <v>136</v>
      </c>
      <c r="I17" s="10" t="s">
        <v>137</v>
      </c>
      <c r="J17" s="10" t="s">
        <v>138</v>
      </c>
      <c r="K17" s="9" t="s">
        <v>51</v>
      </c>
      <c r="L17" s="11" t="s">
        <v>139</v>
      </c>
      <c r="M17" s="6"/>
      <c r="N17" s="12" t="s">
        <v>53</v>
      </c>
      <c r="O17" s="12"/>
      <c r="P17" s="13"/>
      <c r="Q17" s="6"/>
    </row>
    <row r="18" customFormat="false" ht="51.75" hidden="false" customHeight="true" outlineLevel="0" collapsed="false">
      <c r="A18" s="9" t="s">
        <v>140</v>
      </c>
      <c r="B18" s="9" t="s">
        <v>132</v>
      </c>
      <c r="C18" s="10" t="s">
        <v>133</v>
      </c>
      <c r="D18" s="10" t="s">
        <v>134</v>
      </c>
      <c r="E18" s="10" t="s">
        <v>141</v>
      </c>
      <c r="F18" s="9" t="s">
        <v>46</v>
      </c>
      <c r="G18" s="10" t="s">
        <v>47</v>
      </c>
      <c r="H18" s="10" t="s">
        <v>142</v>
      </c>
      <c r="I18" s="10" t="s">
        <v>137</v>
      </c>
      <c r="J18" s="10" t="s">
        <v>143</v>
      </c>
      <c r="K18" s="9" t="s">
        <v>51</v>
      </c>
      <c r="L18" s="11" t="s">
        <v>144</v>
      </c>
      <c r="M18" s="6"/>
      <c r="N18" s="12" t="s">
        <v>53</v>
      </c>
      <c r="O18" s="12"/>
      <c r="P18" s="13"/>
      <c r="Q18" s="6"/>
    </row>
    <row r="19" customFormat="false" ht="64.5" hidden="false" customHeight="true" outlineLevel="0" collapsed="false">
      <c r="A19" s="9" t="s">
        <v>145</v>
      </c>
      <c r="B19" s="9" t="s">
        <v>132</v>
      </c>
      <c r="C19" s="10" t="s">
        <v>133</v>
      </c>
      <c r="D19" s="10" t="s">
        <v>134</v>
      </c>
      <c r="E19" s="10" t="s">
        <v>146</v>
      </c>
      <c r="F19" s="9" t="s">
        <v>46</v>
      </c>
      <c r="G19" s="10" t="s">
        <v>147</v>
      </c>
      <c r="H19" s="10" t="s">
        <v>148</v>
      </c>
      <c r="I19" s="10" t="s">
        <v>137</v>
      </c>
      <c r="J19" s="10" t="s">
        <v>149</v>
      </c>
      <c r="K19" s="9" t="s">
        <v>150</v>
      </c>
      <c r="L19" s="11" t="s">
        <v>151</v>
      </c>
      <c r="M19" s="6"/>
      <c r="N19" s="12" t="s">
        <v>53</v>
      </c>
      <c r="O19" s="12"/>
      <c r="P19" s="13"/>
      <c r="Q19" s="6"/>
    </row>
    <row r="20" customFormat="false" ht="30" hidden="false" customHeight="true" outlineLevel="0" collapsed="false">
      <c r="A20" s="9" t="s">
        <v>152</v>
      </c>
      <c r="B20" s="9" t="s">
        <v>132</v>
      </c>
      <c r="C20" s="10" t="s">
        <v>133</v>
      </c>
      <c r="D20" s="10" t="s">
        <v>134</v>
      </c>
      <c r="E20" s="10" t="s">
        <v>153</v>
      </c>
      <c r="F20" s="9" t="s">
        <v>46</v>
      </c>
      <c r="G20" s="10" t="s">
        <v>154</v>
      </c>
      <c r="H20" s="10" t="s">
        <v>155</v>
      </c>
      <c r="I20" s="10"/>
      <c r="J20" s="10" t="s">
        <v>156</v>
      </c>
      <c r="K20" s="9"/>
      <c r="L20" s="10"/>
      <c r="M20" s="6"/>
      <c r="N20" s="12" t="s">
        <v>53</v>
      </c>
      <c r="O20" s="12"/>
      <c r="P20" s="13"/>
      <c r="Q20" s="6"/>
    </row>
    <row r="21" customFormat="false" ht="30" hidden="false" customHeight="true" outlineLevel="0" collapsed="false">
      <c r="A21" s="9" t="s">
        <v>157</v>
      </c>
      <c r="B21" s="9" t="s">
        <v>158</v>
      </c>
      <c r="C21" s="10" t="s">
        <v>159</v>
      </c>
      <c r="D21" s="10" t="s">
        <v>160</v>
      </c>
      <c r="E21" s="10" t="s">
        <v>161</v>
      </c>
      <c r="F21" s="9" t="s">
        <v>46</v>
      </c>
      <c r="G21" s="10"/>
      <c r="H21" s="10" t="s">
        <v>162</v>
      </c>
      <c r="I21" s="10"/>
      <c r="J21" s="10" t="s">
        <v>163</v>
      </c>
      <c r="K21" s="9" t="s">
        <v>79</v>
      </c>
      <c r="L21" s="11" t="s">
        <v>164</v>
      </c>
      <c r="M21" s="6"/>
      <c r="N21" s="12" t="s">
        <v>53</v>
      </c>
      <c r="O21" s="12"/>
      <c r="P21" s="13"/>
      <c r="Q21" s="6"/>
    </row>
    <row r="22" customFormat="false" ht="30" hidden="false" customHeight="true" outlineLevel="0" collapsed="false">
      <c r="A22" s="9" t="s">
        <v>165</v>
      </c>
      <c r="B22" s="9" t="s">
        <v>158</v>
      </c>
      <c r="C22" s="10" t="s">
        <v>159</v>
      </c>
      <c r="D22" s="10" t="s">
        <v>160</v>
      </c>
      <c r="E22" s="10" t="s">
        <v>166</v>
      </c>
      <c r="F22" s="9" t="s">
        <v>112</v>
      </c>
      <c r="G22" s="10"/>
      <c r="H22" s="10" t="s">
        <v>167</v>
      </c>
      <c r="I22" s="10"/>
      <c r="J22" s="10" t="s">
        <v>168</v>
      </c>
      <c r="K22" s="9" t="s">
        <v>79</v>
      </c>
      <c r="L22" s="11" t="s">
        <v>169</v>
      </c>
      <c r="M22" s="6"/>
      <c r="N22" s="12" t="s">
        <v>53</v>
      </c>
      <c r="O22" s="12"/>
      <c r="P22" s="13"/>
      <c r="Q22" s="6"/>
    </row>
    <row r="23" customFormat="false" ht="30" hidden="false" customHeight="true" outlineLevel="0" collapsed="false">
      <c r="A23" s="9" t="s">
        <v>170</v>
      </c>
      <c r="B23" s="9" t="s">
        <v>171</v>
      </c>
      <c r="C23" s="10" t="s">
        <v>159</v>
      </c>
      <c r="D23" s="10" t="s">
        <v>172</v>
      </c>
      <c r="E23" s="10" t="s">
        <v>173</v>
      </c>
      <c r="F23" s="9" t="s">
        <v>112</v>
      </c>
      <c r="G23" s="10"/>
      <c r="H23" s="10" t="s">
        <v>174</v>
      </c>
      <c r="I23" s="10" t="s">
        <v>175</v>
      </c>
      <c r="J23" s="10" t="s">
        <v>176</v>
      </c>
      <c r="K23" s="9" t="s">
        <v>79</v>
      </c>
      <c r="L23" s="11" t="s">
        <v>177</v>
      </c>
      <c r="M23" s="6"/>
      <c r="N23" s="12" t="s">
        <v>53</v>
      </c>
      <c r="O23" s="12"/>
      <c r="P23" s="13"/>
      <c r="Q23" s="6"/>
    </row>
    <row r="24" customFormat="false" ht="30" hidden="false" customHeight="true" outlineLevel="0" collapsed="false">
      <c r="A24" s="9" t="s">
        <v>178</v>
      </c>
      <c r="B24" s="9" t="s">
        <v>171</v>
      </c>
      <c r="C24" s="10" t="s">
        <v>159</v>
      </c>
      <c r="D24" s="10" t="s">
        <v>172</v>
      </c>
      <c r="E24" s="10" t="s">
        <v>179</v>
      </c>
      <c r="F24" s="9" t="s">
        <v>91</v>
      </c>
      <c r="G24" s="10"/>
      <c r="H24" s="10" t="s">
        <v>180</v>
      </c>
      <c r="I24" s="10" t="s">
        <v>181</v>
      </c>
      <c r="J24" s="10" t="s">
        <v>182</v>
      </c>
      <c r="K24" s="9" t="s">
        <v>79</v>
      </c>
      <c r="L24" s="11" t="s">
        <v>183</v>
      </c>
      <c r="M24" s="6"/>
      <c r="N24" s="12" t="s">
        <v>53</v>
      </c>
      <c r="O24" s="12"/>
      <c r="P24" s="13"/>
      <c r="Q24" s="6"/>
    </row>
    <row r="25" customFormat="false" ht="30" hidden="false" customHeight="true" outlineLevel="0" collapsed="false">
      <c r="A25" s="9" t="s">
        <v>184</v>
      </c>
      <c r="B25" s="9" t="s">
        <v>185</v>
      </c>
      <c r="C25" s="10" t="s">
        <v>159</v>
      </c>
      <c r="D25" s="10" t="s">
        <v>186</v>
      </c>
      <c r="E25" s="10" t="s">
        <v>187</v>
      </c>
      <c r="F25" s="9" t="s">
        <v>91</v>
      </c>
      <c r="G25" s="10"/>
      <c r="H25" s="10" t="s">
        <v>188</v>
      </c>
      <c r="I25" s="10"/>
      <c r="J25" s="10" t="s">
        <v>189</v>
      </c>
      <c r="K25" s="9"/>
      <c r="L25" s="10"/>
      <c r="M25" s="6"/>
      <c r="N25" s="12" t="s">
        <v>53</v>
      </c>
      <c r="O25" s="12"/>
      <c r="P25" s="13"/>
      <c r="Q25" s="6"/>
    </row>
    <row r="26" customFormat="false" ht="30" hidden="false" customHeight="true" outlineLevel="0" collapsed="false">
      <c r="A26" s="9" t="s">
        <v>190</v>
      </c>
      <c r="B26" s="9" t="s">
        <v>191</v>
      </c>
      <c r="C26" s="10" t="s">
        <v>192</v>
      </c>
      <c r="D26" s="10" t="s">
        <v>193</v>
      </c>
      <c r="E26" s="10" t="s">
        <v>194</v>
      </c>
      <c r="F26" s="9" t="s">
        <v>46</v>
      </c>
      <c r="G26" s="10"/>
      <c r="H26" s="10" t="s">
        <v>195</v>
      </c>
      <c r="I26" s="10"/>
      <c r="J26" s="10" t="s">
        <v>196</v>
      </c>
      <c r="K26" s="9"/>
      <c r="L26" s="10"/>
      <c r="M26" s="6"/>
      <c r="N26" s="12" t="s">
        <v>53</v>
      </c>
      <c r="O26" s="12"/>
      <c r="P26" s="13"/>
      <c r="Q26" s="6"/>
    </row>
    <row r="27" customFormat="false" ht="51.75" hidden="false" customHeight="true" outlineLevel="0" collapsed="false">
      <c r="A27" s="9" t="s">
        <v>197</v>
      </c>
      <c r="B27" s="9" t="s">
        <v>191</v>
      </c>
      <c r="C27" s="10" t="s">
        <v>192</v>
      </c>
      <c r="D27" s="10" t="s">
        <v>193</v>
      </c>
      <c r="E27" s="10" t="s">
        <v>198</v>
      </c>
      <c r="F27" s="9" t="s">
        <v>112</v>
      </c>
      <c r="G27" s="10"/>
      <c r="H27" s="10" t="s">
        <v>199</v>
      </c>
      <c r="I27" s="10"/>
      <c r="J27" s="10" t="s">
        <v>200</v>
      </c>
      <c r="K27" s="9" t="s">
        <v>51</v>
      </c>
      <c r="L27" s="11" t="s">
        <v>201</v>
      </c>
      <c r="M27" s="6"/>
      <c r="N27" s="12" t="s">
        <v>53</v>
      </c>
      <c r="O27" s="12"/>
      <c r="P27" s="13"/>
      <c r="Q27" s="6"/>
    </row>
    <row r="28" customFormat="false" ht="39" hidden="false" customHeight="true" outlineLevel="0" collapsed="false">
      <c r="A28" s="9" t="s">
        <v>202</v>
      </c>
      <c r="B28" s="9" t="s">
        <v>203</v>
      </c>
      <c r="C28" s="10" t="s">
        <v>192</v>
      </c>
      <c r="D28" s="10" t="s">
        <v>204</v>
      </c>
      <c r="E28" s="10" t="s">
        <v>205</v>
      </c>
      <c r="F28" s="9" t="s">
        <v>112</v>
      </c>
      <c r="G28" s="10"/>
      <c r="H28" s="10" t="s">
        <v>206</v>
      </c>
      <c r="I28" s="10" t="s">
        <v>207</v>
      </c>
      <c r="J28" s="10" t="s">
        <v>208</v>
      </c>
      <c r="K28" s="9" t="s">
        <v>51</v>
      </c>
      <c r="L28" s="11" t="s">
        <v>209</v>
      </c>
      <c r="M28" s="6"/>
      <c r="N28" s="12" t="s">
        <v>53</v>
      </c>
      <c r="O28" s="12"/>
      <c r="P28" s="13"/>
      <c r="Q28" s="6"/>
    </row>
    <row r="29" customFormat="false" ht="39" hidden="false" customHeight="true" outlineLevel="0" collapsed="false">
      <c r="A29" s="9" t="s">
        <v>210</v>
      </c>
      <c r="B29" s="9" t="s">
        <v>203</v>
      </c>
      <c r="C29" s="10" t="s">
        <v>192</v>
      </c>
      <c r="D29" s="10" t="s">
        <v>204</v>
      </c>
      <c r="E29" s="10" t="s">
        <v>211</v>
      </c>
      <c r="F29" s="9" t="s">
        <v>112</v>
      </c>
      <c r="G29" s="10"/>
      <c r="H29" s="10" t="s">
        <v>212</v>
      </c>
      <c r="I29" s="10" t="s">
        <v>213</v>
      </c>
      <c r="J29" s="10" t="s">
        <v>214</v>
      </c>
      <c r="K29" s="9" t="s">
        <v>79</v>
      </c>
      <c r="L29" s="11" t="s">
        <v>215</v>
      </c>
      <c r="M29" s="6"/>
      <c r="N29" s="12" t="s">
        <v>53</v>
      </c>
      <c r="O29" s="12"/>
      <c r="P29" s="13"/>
      <c r="Q29" s="6"/>
    </row>
    <row r="30" customFormat="false" ht="30" hidden="false" customHeight="true" outlineLevel="0" collapsed="false">
      <c r="A30" s="9" t="s">
        <v>216</v>
      </c>
      <c r="B30" s="9" t="s">
        <v>217</v>
      </c>
      <c r="C30" s="10" t="s">
        <v>192</v>
      </c>
      <c r="D30" s="10" t="s">
        <v>218</v>
      </c>
      <c r="E30" s="10" t="s">
        <v>219</v>
      </c>
      <c r="F30" s="9" t="s">
        <v>46</v>
      </c>
      <c r="G30" s="10"/>
      <c r="H30" s="10" t="s">
        <v>220</v>
      </c>
      <c r="I30" s="10"/>
      <c r="J30" s="10" t="s">
        <v>221</v>
      </c>
      <c r="K30" s="9"/>
      <c r="L30" s="10"/>
      <c r="M30" s="6"/>
      <c r="N30" s="12" t="s">
        <v>53</v>
      </c>
      <c r="O30" s="12"/>
      <c r="P30" s="13"/>
      <c r="Q30" s="6"/>
    </row>
    <row r="31" customFormat="false" ht="51.75" hidden="false" customHeight="true" outlineLevel="0" collapsed="false">
      <c r="A31" s="9" t="s">
        <v>222</v>
      </c>
      <c r="B31" s="9" t="s">
        <v>217</v>
      </c>
      <c r="C31" s="10" t="s">
        <v>192</v>
      </c>
      <c r="D31" s="10" t="s">
        <v>218</v>
      </c>
      <c r="E31" s="10" t="s">
        <v>223</v>
      </c>
      <c r="F31" s="9" t="s">
        <v>46</v>
      </c>
      <c r="G31" s="10"/>
      <c r="H31" s="10" t="s">
        <v>224</v>
      </c>
      <c r="I31" s="10" t="s">
        <v>213</v>
      </c>
      <c r="J31" s="10" t="s">
        <v>225</v>
      </c>
      <c r="K31" s="9" t="s">
        <v>79</v>
      </c>
      <c r="L31" s="11" t="s">
        <v>226</v>
      </c>
      <c r="M31" s="6"/>
      <c r="N31" s="12" t="s">
        <v>53</v>
      </c>
      <c r="O31" s="12"/>
      <c r="P31" s="13"/>
      <c r="Q31" s="6"/>
    </row>
    <row r="32" customFormat="false" ht="30" hidden="false" customHeight="true" outlineLevel="0" collapsed="false">
      <c r="A32" s="9" t="s">
        <v>227</v>
      </c>
      <c r="B32" s="9" t="s">
        <v>228</v>
      </c>
      <c r="C32" s="10" t="s">
        <v>192</v>
      </c>
      <c r="D32" s="10" t="s">
        <v>229</v>
      </c>
      <c r="E32" s="10" t="s">
        <v>230</v>
      </c>
      <c r="F32" s="9" t="s">
        <v>46</v>
      </c>
      <c r="G32" s="10" t="s">
        <v>147</v>
      </c>
      <c r="H32" s="10" t="s">
        <v>231</v>
      </c>
      <c r="I32" s="10" t="s">
        <v>232</v>
      </c>
      <c r="J32" s="10" t="s">
        <v>233</v>
      </c>
      <c r="K32" s="9"/>
      <c r="L32" s="10"/>
      <c r="M32" s="6"/>
      <c r="N32" s="12" t="s">
        <v>53</v>
      </c>
      <c r="O32" s="12"/>
      <c r="P32" s="13"/>
      <c r="Q32" s="6"/>
    </row>
    <row r="33" customFormat="false" ht="51.75" hidden="false" customHeight="true" outlineLevel="0" collapsed="false">
      <c r="A33" s="9" t="s">
        <v>234</v>
      </c>
      <c r="B33" s="9" t="s">
        <v>228</v>
      </c>
      <c r="C33" s="10" t="s">
        <v>192</v>
      </c>
      <c r="D33" s="10" t="s">
        <v>229</v>
      </c>
      <c r="E33" s="10" t="s">
        <v>235</v>
      </c>
      <c r="F33" s="9" t="s">
        <v>46</v>
      </c>
      <c r="G33" s="10" t="s">
        <v>147</v>
      </c>
      <c r="H33" s="10" t="s">
        <v>236</v>
      </c>
      <c r="I33" s="10" t="s">
        <v>237</v>
      </c>
      <c r="J33" s="10" t="s">
        <v>238</v>
      </c>
      <c r="K33" s="9" t="s">
        <v>150</v>
      </c>
      <c r="L33" s="11" t="s">
        <v>239</v>
      </c>
      <c r="M33" s="6"/>
      <c r="N33" s="12" t="s">
        <v>53</v>
      </c>
      <c r="O33" s="12"/>
      <c r="P33" s="13"/>
      <c r="Q33" s="6"/>
    </row>
    <row r="34" customFormat="false" ht="30" hidden="false" customHeight="true" outlineLevel="0" collapsed="false">
      <c r="A34" s="9" t="s">
        <v>240</v>
      </c>
      <c r="B34" s="9" t="s">
        <v>241</v>
      </c>
      <c r="C34" s="10" t="s">
        <v>192</v>
      </c>
      <c r="D34" s="10" t="s">
        <v>242</v>
      </c>
      <c r="E34" s="10" t="s">
        <v>243</v>
      </c>
      <c r="F34" s="9" t="s">
        <v>46</v>
      </c>
      <c r="G34" s="10" t="s">
        <v>147</v>
      </c>
      <c r="H34" s="10" t="s">
        <v>244</v>
      </c>
      <c r="I34" s="10" t="s">
        <v>245</v>
      </c>
      <c r="J34" s="10" t="s">
        <v>246</v>
      </c>
      <c r="K34" s="9"/>
      <c r="L34" s="10"/>
      <c r="M34" s="6"/>
      <c r="N34" s="12" t="s">
        <v>53</v>
      </c>
      <c r="O34" s="12"/>
      <c r="P34" s="13"/>
      <c r="Q34" s="6"/>
    </row>
    <row r="35" customFormat="false" ht="30" hidden="false" customHeight="true" outlineLevel="0" collapsed="false">
      <c r="A35" s="9" t="s">
        <v>247</v>
      </c>
      <c r="B35" s="9" t="s">
        <v>241</v>
      </c>
      <c r="C35" s="10" t="s">
        <v>192</v>
      </c>
      <c r="D35" s="10" t="s">
        <v>242</v>
      </c>
      <c r="E35" s="10" t="s">
        <v>248</v>
      </c>
      <c r="F35" s="9" t="s">
        <v>112</v>
      </c>
      <c r="G35" s="10" t="s">
        <v>147</v>
      </c>
      <c r="H35" s="10" t="s">
        <v>249</v>
      </c>
      <c r="I35" s="10" t="s">
        <v>250</v>
      </c>
      <c r="J35" s="10" t="s">
        <v>251</v>
      </c>
      <c r="K35" s="9" t="s">
        <v>79</v>
      </c>
      <c r="L35" s="11" t="s">
        <v>252</v>
      </c>
      <c r="M35" s="6"/>
      <c r="N35" s="12" t="s">
        <v>53</v>
      </c>
      <c r="O35" s="12"/>
      <c r="P35" s="13"/>
      <c r="Q35" s="6"/>
    </row>
    <row r="36" customFormat="false" ht="30" hidden="false" customHeight="true" outlineLevel="0" collapsed="false">
      <c r="A36" s="9" t="s">
        <v>253</v>
      </c>
      <c r="B36" s="9" t="s">
        <v>254</v>
      </c>
      <c r="C36" s="10" t="s">
        <v>192</v>
      </c>
      <c r="D36" s="10" t="s">
        <v>255</v>
      </c>
      <c r="E36" s="10" t="s">
        <v>256</v>
      </c>
      <c r="F36" s="9" t="s">
        <v>46</v>
      </c>
      <c r="G36" s="10" t="s">
        <v>257</v>
      </c>
      <c r="H36" s="10" t="s">
        <v>258</v>
      </c>
      <c r="I36" s="10"/>
      <c r="J36" s="10" t="s">
        <v>259</v>
      </c>
      <c r="K36" s="9"/>
      <c r="L36" s="10"/>
      <c r="M36" s="6"/>
      <c r="N36" s="12" t="s">
        <v>53</v>
      </c>
      <c r="O36" s="12"/>
      <c r="P36" s="13"/>
      <c r="Q36" s="6"/>
    </row>
    <row r="37" customFormat="false" ht="30" hidden="false" customHeight="true" outlineLevel="0" collapsed="false">
      <c r="A37" s="9" t="s">
        <v>260</v>
      </c>
      <c r="B37" s="9" t="s">
        <v>254</v>
      </c>
      <c r="C37" s="10" t="s">
        <v>192</v>
      </c>
      <c r="D37" s="10" t="s">
        <v>255</v>
      </c>
      <c r="E37" s="10" t="s">
        <v>261</v>
      </c>
      <c r="F37" s="9" t="s">
        <v>46</v>
      </c>
      <c r="G37" s="10" t="s">
        <v>257</v>
      </c>
      <c r="H37" s="10" t="s">
        <v>262</v>
      </c>
      <c r="I37" s="10"/>
      <c r="J37" s="10" t="s">
        <v>263</v>
      </c>
      <c r="K37" s="9"/>
      <c r="L37" s="10"/>
      <c r="M37" s="6"/>
      <c r="N37" s="12" t="s">
        <v>53</v>
      </c>
      <c r="O37" s="12"/>
      <c r="P37" s="13"/>
      <c r="Q37" s="6"/>
    </row>
    <row r="38" customFormat="false" ht="30" hidden="false" customHeight="true" outlineLevel="0" collapsed="false">
      <c r="A38" s="9" t="s">
        <v>264</v>
      </c>
      <c r="B38" s="9" t="s">
        <v>254</v>
      </c>
      <c r="C38" s="10" t="s">
        <v>192</v>
      </c>
      <c r="D38" s="10" t="s">
        <v>255</v>
      </c>
      <c r="E38" s="10" t="s">
        <v>265</v>
      </c>
      <c r="F38" s="9" t="s">
        <v>46</v>
      </c>
      <c r="G38" s="10" t="s">
        <v>266</v>
      </c>
      <c r="H38" s="10" t="s">
        <v>267</v>
      </c>
      <c r="I38" s="10" t="s">
        <v>268</v>
      </c>
      <c r="J38" s="10" t="s">
        <v>269</v>
      </c>
      <c r="K38" s="9"/>
      <c r="L38" s="10"/>
      <c r="M38" s="6"/>
      <c r="N38" s="12" t="s">
        <v>53</v>
      </c>
      <c r="O38" s="12"/>
      <c r="P38" s="13"/>
      <c r="Q38" s="6"/>
    </row>
    <row r="39" customFormat="false" ht="39" hidden="false" customHeight="true" outlineLevel="0" collapsed="false">
      <c r="A39" s="9" t="s">
        <v>270</v>
      </c>
      <c r="B39" s="9" t="s">
        <v>271</v>
      </c>
      <c r="C39" s="10" t="s">
        <v>192</v>
      </c>
      <c r="D39" s="10" t="s">
        <v>272</v>
      </c>
      <c r="E39" s="10" t="s">
        <v>272</v>
      </c>
      <c r="F39" s="9" t="s">
        <v>112</v>
      </c>
      <c r="G39" s="10" t="s">
        <v>147</v>
      </c>
      <c r="H39" s="10" t="s">
        <v>273</v>
      </c>
      <c r="I39" s="10"/>
      <c r="J39" s="10" t="s">
        <v>274</v>
      </c>
      <c r="K39" s="9" t="s">
        <v>79</v>
      </c>
      <c r="L39" s="11" t="s">
        <v>275</v>
      </c>
      <c r="M39" s="6"/>
      <c r="N39" s="12" t="s">
        <v>53</v>
      </c>
      <c r="O39" s="12"/>
      <c r="P39" s="13"/>
      <c r="Q39" s="6"/>
    </row>
    <row r="40" customFormat="false" ht="39" hidden="false" customHeight="true" outlineLevel="0" collapsed="false">
      <c r="A40" s="9" t="s">
        <v>276</v>
      </c>
      <c r="B40" s="9" t="s">
        <v>277</v>
      </c>
      <c r="C40" s="10" t="s">
        <v>278</v>
      </c>
      <c r="D40" s="10" t="s">
        <v>279</v>
      </c>
      <c r="E40" s="10" t="s">
        <v>280</v>
      </c>
      <c r="F40" s="9" t="s">
        <v>46</v>
      </c>
      <c r="G40" s="10" t="s">
        <v>147</v>
      </c>
      <c r="H40" s="10" t="s">
        <v>281</v>
      </c>
      <c r="I40" s="10" t="s">
        <v>282</v>
      </c>
      <c r="J40" s="10" t="s">
        <v>283</v>
      </c>
      <c r="K40" s="9"/>
      <c r="L40" s="10"/>
      <c r="M40" s="6"/>
      <c r="N40" s="12" t="s">
        <v>53</v>
      </c>
      <c r="O40" s="12"/>
      <c r="P40" s="13"/>
      <c r="Q40" s="6"/>
    </row>
    <row r="41" customFormat="false" ht="30" hidden="false" customHeight="true" outlineLevel="0" collapsed="false">
      <c r="A41" s="9" t="s">
        <v>284</v>
      </c>
      <c r="B41" s="9" t="s">
        <v>277</v>
      </c>
      <c r="C41" s="10" t="s">
        <v>278</v>
      </c>
      <c r="D41" s="10" t="s">
        <v>279</v>
      </c>
      <c r="E41" s="10" t="s">
        <v>285</v>
      </c>
      <c r="F41" s="9" t="s">
        <v>112</v>
      </c>
      <c r="G41" s="10" t="s">
        <v>147</v>
      </c>
      <c r="H41" s="10" t="s">
        <v>286</v>
      </c>
      <c r="I41" s="10" t="s">
        <v>287</v>
      </c>
      <c r="J41" s="10" t="s">
        <v>288</v>
      </c>
      <c r="K41" s="9" t="s">
        <v>79</v>
      </c>
      <c r="L41" s="11" t="s">
        <v>289</v>
      </c>
      <c r="M41" s="6"/>
      <c r="N41" s="12" t="s">
        <v>53</v>
      </c>
      <c r="O41" s="12"/>
      <c r="P41" s="13"/>
      <c r="Q41" s="6"/>
    </row>
    <row r="42" customFormat="false" ht="30" hidden="false" customHeight="true" outlineLevel="0" collapsed="false">
      <c r="A42" s="9" t="s">
        <v>290</v>
      </c>
      <c r="B42" s="9" t="s">
        <v>291</v>
      </c>
      <c r="C42" s="10" t="s">
        <v>278</v>
      </c>
      <c r="D42" s="10" t="s">
        <v>292</v>
      </c>
      <c r="E42" s="10" t="s">
        <v>293</v>
      </c>
      <c r="F42" s="9" t="s">
        <v>112</v>
      </c>
      <c r="G42" s="10" t="s">
        <v>294</v>
      </c>
      <c r="H42" s="10" t="s">
        <v>295</v>
      </c>
      <c r="I42" s="10"/>
      <c r="J42" s="10" t="s">
        <v>296</v>
      </c>
      <c r="K42" s="9"/>
      <c r="L42" s="10"/>
      <c r="M42" s="6"/>
      <c r="N42" s="12" t="s">
        <v>53</v>
      </c>
      <c r="O42" s="12"/>
      <c r="P42" s="13"/>
      <c r="Q42" s="6"/>
    </row>
    <row r="43" customFormat="false" ht="39" hidden="false" customHeight="true" outlineLevel="0" collapsed="false">
      <c r="A43" s="9" t="s">
        <v>297</v>
      </c>
      <c r="B43" s="9" t="s">
        <v>291</v>
      </c>
      <c r="C43" s="10" t="s">
        <v>278</v>
      </c>
      <c r="D43" s="10" t="s">
        <v>292</v>
      </c>
      <c r="E43" s="10" t="s">
        <v>298</v>
      </c>
      <c r="F43" s="9" t="s">
        <v>46</v>
      </c>
      <c r="G43" s="10" t="s">
        <v>299</v>
      </c>
      <c r="H43" s="10" t="s">
        <v>300</v>
      </c>
      <c r="I43" s="10" t="s">
        <v>301</v>
      </c>
      <c r="J43" s="10" t="s">
        <v>251</v>
      </c>
      <c r="K43" s="9" t="s">
        <v>79</v>
      </c>
      <c r="L43" s="11" t="s">
        <v>302</v>
      </c>
      <c r="M43" s="6"/>
      <c r="N43" s="12" t="s">
        <v>53</v>
      </c>
      <c r="O43" s="12"/>
      <c r="P43" s="13"/>
      <c r="Q43" s="6"/>
    </row>
    <row r="44" customFormat="false" ht="30" hidden="false" customHeight="true" outlineLevel="0" collapsed="false">
      <c r="A44" s="9" t="s">
        <v>303</v>
      </c>
      <c r="B44" s="9" t="s">
        <v>304</v>
      </c>
      <c r="C44" s="10" t="s">
        <v>278</v>
      </c>
      <c r="D44" s="10" t="s">
        <v>305</v>
      </c>
      <c r="E44" s="10" t="s">
        <v>306</v>
      </c>
      <c r="F44" s="9" t="s">
        <v>112</v>
      </c>
      <c r="G44" s="10" t="s">
        <v>294</v>
      </c>
      <c r="H44" s="10" t="s">
        <v>307</v>
      </c>
      <c r="I44" s="10"/>
      <c r="J44" s="10" t="s">
        <v>308</v>
      </c>
      <c r="K44" s="9"/>
      <c r="L44" s="10"/>
      <c r="M44" s="6"/>
      <c r="N44" s="12" t="s">
        <v>53</v>
      </c>
      <c r="O44" s="12"/>
      <c r="P44" s="13"/>
      <c r="Q44" s="6"/>
    </row>
    <row r="45" customFormat="false" ht="30" hidden="false" customHeight="true" outlineLevel="0" collapsed="false">
      <c r="A45" s="9" t="s">
        <v>309</v>
      </c>
      <c r="B45" s="9" t="s">
        <v>304</v>
      </c>
      <c r="C45" s="10" t="s">
        <v>278</v>
      </c>
      <c r="D45" s="10" t="s">
        <v>305</v>
      </c>
      <c r="E45" s="10" t="s">
        <v>310</v>
      </c>
      <c r="F45" s="9" t="s">
        <v>46</v>
      </c>
      <c r="G45" s="10" t="s">
        <v>299</v>
      </c>
      <c r="H45" s="10" t="s">
        <v>311</v>
      </c>
      <c r="I45" s="10"/>
      <c r="J45" s="10" t="s">
        <v>251</v>
      </c>
      <c r="K45" s="9"/>
      <c r="L45" s="10"/>
      <c r="M45" s="6"/>
      <c r="N45" s="12" t="s">
        <v>53</v>
      </c>
      <c r="O45" s="12"/>
      <c r="P45" s="13"/>
      <c r="Q45" s="6"/>
    </row>
    <row r="46" customFormat="false" ht="30" hidden="false" customHeight="true" outlineLevel="0" collapsed="false">
      <c r="A46" s="9" t="s">
        <v>312</v>
      </c>
      <c r="B46" s="9" t="s">
        <v>313</v>
      </c>
      <c r="C46" s="10" t="s">
        <v>278</v>
      </c>
      <c r="D46" s="10" t="s">
        <v>314</v>
      </c>
      <c r="E46" s="10" t="s">
        <v>315</v>
      </c>
      <c r="F46" s="9" t="s">
        <v>46</v>
      </c>
      <c r="G46" s="10" t="s">
        <v>147</v>
      </c>
      <c r="H46" s="10" t="s">
        <v>316</v>
      </c>
      <c r="I46" s="10"/>
      <c r="J46" s="10" t="s">
        <v>317</v>
      </c>
      <c r="K46" s="9"/>
      <c r="L46" s="10"/>
      <c r="M46" s="6"/>
      <c r="N46" s="12" t="s">
        <v>53</v>
      </c>
      <c r="O46" s="12"/>
      <c r="P46" s="13"/>
      <c r="Q46" s="6"/>
    </row>
    <row r="47" customFormat="false" ht="39" hidden="false" customHeight="true" outlineLevel="0" collapsed="false">
      <c r="A47" s="9" t="s">
        <v>318</v>
      </c>
      <c r="B47" s="9" t="s">
        <v>313</v>
      </c>
      <c r="C47" s="10" t="s">
        <v>278</v>
      </c>
      <c r="D47" s="10" t="s">
        <v>314</v>
      </c>
      <c r="E47" s="10" t="s">
        <v>319</v>
      </c>
      <c r="F47" s="9" t="s">
        <v>46</v>
      </c>
      <c r="G47" s="10" t="s">
        <v>320</v>
      </c>
      <c r="H47" s="10" t="s">
        <v>321</v>
      </c>
      <c r="I47" s="10"/>
      <c r="J47" s="10" t="s">
        <v>322</v>
      </c>
      <c r="K47" s="9" t="s">
        <v>79</v>
      </c>
      <c r="L47" s="11" t="s">
        <v>323</v>
      </c>
      <c r="M47" s="6"/>
      <c r="N47" s="12" t="s">
        <v>53</v>
      </c>
      <c r="O47" s="12"/>
      <c r="P47" s="13"/>
      <c r="Q47" s="6"/>
    </row>
    <row r="48" customFormat="false" ht="30" hidden="false" customHeight="true" outlineLevel="0" collapsed="false">
      <c r="A48" s="9" t="s">
        <v>324</v>
      </c>
      <c r="B48" s="9" t="s">
        <v>325</v>
      </c>
      <c r="C48" s="10" t="s">
        <v>278</v>
      </c>
      <c r="D48" s="10" t="s">
        <v>326</v>
      </c>
      <c r="E48" s="10" t="s">
        <v>327</v>
      </c>
      <c r="F48" s="9" t="s">
        <v>46</v>
      </c>
      <c r="G48" s="10" t="s">
        <v>154</v>
      </c>
      <c r="H48" s="10" t="s">
        <v>328</v>
      </c>
      <c r="I48" s="10" t="s">
        <v>329</v>
      </c>
      <c r="J48" s="10" t="s">
        <v>330</v>
      </c>
      <c r="K48" s="9" t="s">
        <v>79</v>
      </c>
      <c r="L48" s="11" t="s">
        <v>331</v>
      </c>
      <c r="M48" s="6"/>
      <c r="N48" s="12" t="s">
        <v>53</v>
      </c>
      <c r="O48" s="12"/>
      <c r="P48" s="13"/>
      <c r="Q48" s="6"/>
    </row>
    <row r="49" customFormat="false" ht="30" hidden="false" customHeight="true" outlineLevel="0" collapsed="false">
      <c r="A49" s="9" t="s">
        <v>332</v>
      </c>
      <c r="B49" s="9" t="s">
        <v>325</v>
      </c>
      <c r="C49" s="10" t="s">
        <v>278</v>
      </c>
      <c r="D49" s="10" t="s">
        <v>326</v>
      </c>
      <c r="E49" s="10" t="s">
        <v>333</v>
      </c>
      <c r="F49" s="9" t="s">
        <v>46</v>
      </c>
      <c r="G49" s="10" t="s">
        <v>147</v>
      </c>
      <c r="H49" s="10" t="s">
        <v>334</v>
      </c>
      <c r="I49" s="10"/>
      <c r="J49" s="10" t="s">
        <v>251</v>
      </c>
      <c r="K49" s="9"/>
      <c r="L49" s="10"/>
      <c r="M49" s="6"/>
      <c r="N49" s="12" t="s">
        <v>53</v>
      </c>
      <c r="O49" s="12"/>
      <c r="P49" s="13"/>
      <c r="Q49" s="6"/>
    </row>
    <row r="50" customFormat="false" ht="51.75" hidden="false" customHeight="true" outlineLevel="0" collapsed="false">
      <c r="A50" s="9" t="s">
        <v>335</v>
      </c>
      <c r="B50" s="9" t="s">
        <v>325</v>
      </c>
      <c r="C50" s="10" t="s">
        <v>278</v>
      </c>
      <c r="D50" s="10" t="s">
        <v>326</v>
      </c>
      <c r="E50" s="10" t="s">
        <v>336</v>
      </c>
      <c r="F50" s="9" t="s">
        <v>46</v>
      </c>
      <c r="G50" s="10" t="s">
        <v>154</v>
      </c>
      <c r="H50" s="10" t="s">
        <v>337</v>
      </c>
      <c r="I50" s="10" t="s">
        <v>338</v>
      </c>
      <c r="J50" s="10" t="s">
        <v>339</v>
      </c>
      <c r="K50" s="9" t="s">
        <v>150</v>
      </c>
      <c r="L50" s="11" t="s">
        <v>340</v>
      </c>
      <c r="M50" s="6"/>
      <c r="N50" s="12" t="s">
        <v>53</v>
      </c>
      <c r="O50" s="12"/>
      <c r="P50" s="13"/>
      <c r="Q50" s="6"/>
    </row>
    <row r="51" customFormat="false" ht="30" hidden="false" customHeight="true" outlineLevel="0" collapsed="false">
      <c r="A51" s="9" t="s">
        <v>341</v>
      </c>
      <c r="B51" s="9" t="s">
        <v>342</v>
      </c>
      <c r="C51" s="10" t="s">
        <v>278</v>
      </c>
      <c r="D51" s="10" t="s">
        <v>343</v>
      </c>
      <c r="E51" s="10" t="s">
        <v>344</v>
      </c>
      <c r="F51" s="9" t="s">
        <v>46</v>
      </c>
      <c r="G51" s="10"/>
      <c r="H51" s="10" t="s">
        <v>345</v>
      </c>
      <c r="I51" s="10" t="s">
        <v>346</v>
      </c>
      <c r="J51" s="10" t="s">
        <v>347</v>
      </c>
      <c r="K51" s="9" t="s">
        <v>79</v>
      </c>
      <c r="L51" s="11" t="s">
        <v>348</v>
      </c>
      <c r="M51" s="6"/>
      <c r="N51" s="12" t="s">
        <v>53</v>
      </c>
      <c r="O51" s="12"/>
      <c r="P51" s="13"/>
      <c r="Q51" s="6"/>
    </row>
    <row r="52" customFormat="false" ht="51.75" hidden="false" customHeight="true" outlineLevel="0" collapsed="false">
      <c r="A52" s="9" t="s">
        <v>349</v>
      </c>
      <c r="B52" s="9" t="s">
        <v>342</v>
      </c>
      <c r="C52" s="10" t="s">
        <v>278</v>
      </c>
      <c r="D52" s="10" t="s">
        <v>343</v>
      </c>
      <c r="E52" s="10" t="s">
        <v>350</v>
      </c>
      <c r="F52" s="9" t="s">
        <v>91</v>
      </c>
      <c r="G52" s="10"/>
      <c r="H52" s="10" t="s">
        <v>351</v>
      </c>
      <c r="I52" s="10"/>
      <c r="J52" s="10" t="s">
        <v>352</v>
      </c>
      <c r="K52" s="9" t="s">
        <v>51</v>
      </c>
      <c r="L52" s="11" t="s">
        <v>353</v>
      </c>
      <c r="M52" s="6"/>
      <c r="N52" s="12" t="s">
        <v>53</v>
      </c>
      <c r="O52" s="12"/>
      <c r="P52" s="13"/>
      <c r="Q52" s="6"/>
    </row>
    <row r="53" customFormat="false" ht="78" hidden="false" customHeight="true" outlineLevel="0" collapsed="false">
      <c r="A53" s="9" t="s">
        <v>354</v>
      </c>
      <c r="B53" s="9" t="s">
        <v>355</v>
      </c>
      <c r="C53" s="10" t="s">
        <v>356</v>
      </c>
      <c r="D53" s="10" t="s">
        <v>357</v>
      </c>
      <c r="E53" s="10" t="s">
        <v>358</v>
      </c>
      <c r="F53" s="9" t="s">
        <v>112</v>
      </c>
      <c r="G53" s="10" t="s">
        <v>359</v>
      </c>
      <c r="H53" s="10" t="s">
        <v>360</v>
      </c>
      <c r="I53" s="10" t="s">
        <v>361</v>
      </c>
      <c r="J53" s="10" t="s">
        <v>362</v>
      </c>
      <c r="K53" s="9" t="s">
        <v>79</v>
      </c>
      <c r="L53" s="11" t="s">
        <v>363</v>
      </c>
      <c r="M53" s="6"/>
      <c r="N53" s="12" t="s">
        <v>53</v>
      </c>
      <c r="O53" s="12"/>
      <c r="P53" s="13"/>
      <c r="Q53" s="6"/>
    </row>
  </sheetData>
  <autoFilter ref="A4:Q53"/>
  <mergeCells count="1">
    <mergeCell ref="A2:Q2"/>
  </mergeCells>
  <conditionalFormatting sqref="N5:N53">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"Blocked"</formula>
    </cfRule>
  </conditionalFormatting>
  <dataValidations count="2">
    <dataValidation allowBlank="false" error="Chọn: Not Run, Pass, Fail, Blocked hoặc N/A" errorStyle="stop" operator="between" showDropDown="false" showErrorMessage="false" showInputMessage="false" sqref="N5:N53" type="list">
      <formula1>"Not Run,Pass,Fail,Blocked,N/A"</formula1>
      <formula2>0</formula2>
    </dataValidation>
    <dataValidation allowBlank="true" error="Nhập ngày dạng dd/mm/yyyy" errorStyle="stop" operator="greaterThan" showDropDown="false" showErrorMessage="false" showInputMessage="false" sqref="P5:P53" type="date">
      <formula1>36526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8" min="2" style="0" width="12"/>
  </cols>
  <sheetData>
    <row r="1" customFormat="false" ht="17.35" hidden="false" customHeight="false" outlineLevel="0" collapsed="false">
      <c r="A1" s="1" t="s">
        <v>364</v>
      </c>
    </row>
    <row r="2" customFormat="false" ht="15" hidden="false" customHeight="false" outlineLevel="0" collapsed="false">
      <c r="A2" s="14" t="s">
        <v>365</v>
      </c>
    </row>
    <row r="4" customFormat="false" ht="15" hidden="false" customHeight="false" outlineLevel="0" collapsed="false">
      <c r="A4" s="5" t="s">
        <v>366</v>
      </c>
      <c r="B4" s="15" t="n">
        <f aca="false">COUNTA('Thực thi nhóm 1'!$A$5:$A$53)</f>
        <v>49</v>
      </c>
    </row>
    <row r="5" customFormat="false" ht="15" hidden="false" customHeight="false" outlineLevel="0" collapsed="false">
      <c r="A5" s="5" t="s">
        <v>367</v>
      </c>
      <c r="B5" s="15" t="n">
        <f aca="false">B4-B10</f>
        <v>0</v>
      </c>
    </row>
    <row r="6" customFormat="false" ht="15" hidden="false" customHeight="false" outlineLevel="0" collapsed="false">
      <c r="A6" s="5" t="s">
        <v>22</v>
      </c>
      <c r="B6" s="15" t="n">
        <f aca="false">COUNTIF('Thực thi nhóm 1'!$N$5:$N$53,"Pass")</f>
        <v>0</v>
      </c>
    </row>
    <row r="7" customFormat="false" ht="15" hidden="false" customHeight="false" outlineLevel="0" collapsed="false">
      <c r="A7" s="5" t="s">
        <v>368</v>
      </c>
      <c r="B7" s="15" t="n">
        <f aca="false">COUNTIF('Thực thi nhóm 1'!$N$5:$N$53,"Fail")</f>
        <v>0</v>
      </c>
    </row>
    <row r="8" customFormat="false" ht="15" hidden="false" customHeight="false" outlineLevel="0" collapsed="false">
      <c r="A8" s="5" t="s">
        <v>369</v>
      </c>
      <c r="B8" s="15" t="n">
        <f aca="false">COUNTIF('Thực thi nhóm 1'!$N$5:$N$53,"Blocked")</f>
        <v>0</v>
      </c>
    </row>
    <row r="9" customFormat="false" ht="15" hidden="false" customHeight="false" outlineLevel="0" collapsed="false">
      <c r="A9" s="5" t="s">
        <v>370</v>
      </c>
      <c r="B9" s="15" t="n">
        <f aca="false">COUNTIF('Thực thi nhóm 1'!$N$5:$N$53,"N/A")</f>
        <v>0</v>
      </c>
    </row>
    <row r="10" customFormat="false" ht="15" hidden="false" customHeight="false" outlineLevel="0" collapsed="false">
      <c r="A10" s="5" t="s">
        <v>53</v>
      </c>
      <c r="B10" s="15" t="n">
        <f aca="false">COUNTIF('Thực thi nhóm 1'!$N$5:$N$53,"Not Run")</f>
        <v>49</v>
      </c>
    </row>
    <row r="11" customFormat="false" ht="15" hidden="false" customHeight="false" outlineLevel="0" collapsed="false">
      <c r="A11" s="5" t="s">
        <v>371</v>
      </c>
      <c r="B11" s="16" t="n">
        <f aca="false">IF(B4=0,0,B5/B4)</f>
        <v>0</v>
      </c>
    </row>
    <row r="12" customFormat="false" ht="15" hidden="false" customHeight="false" outlineLevel="0" collapsed="false">
      <c r="A12" s="5" t="s">
        <v>372</v>
      </c>
      <c r="B12" s="16" t="n">
        <f aca="false">IF(B5=0,0,B6/B5)</f>
        <v>0</v>
      </c>
    </row>
    <row r="13" customFormat="false" ht="15" hidden="false" customHeight="false" outlineLevel="0" collapsed="false">
      <c r="A13" s="5" t="s">
        <v>373</v>
      </c>
      <c r="B13" s="16" t="n">
        <f aca="false">IF(B5=0,0,B7/B5)</f>
        <v>0</v>
      </c>
    </row>
    <row r="15" customFormat="false" ht="15" hidden="false" customHeight="false" outlineLevel="0" collapsed="false">
      <c r="A15" s="17" t="s">
        <v>374</v>
      </c>
    </row>
    <row r="16" customFormat="false" ht="15" hidden="false" customHeight="false" outlineLevel="0" collapsed="false">
      <c r="A16" s="8" t="s">
        <v>35</v>
      </c>
      <c r="B16" s="8" t="s">
        <v>375</v>
      </c>
      <c r="C16" s="8" t="s">
        <v>376</v>
      </c>
      <c r="D16" s="8" t="s">
        <v>22</v>
      </c>
      <c r="E16" s="8" t="s">
        <v>368</v>
      </c>
    </row>
    <row r="17" customFormat="false" ht="15" hidden="false" customHeight="false" outlineLevel="0" collapsed="false">
      <c r="A17" s="15" t="s">
        <v>46</v>
      </c>
      <c r="B17" s="15" t="n">
        <f aca="false">COUNTIF('Thực thi nhóm 1'!$F$5:$F$53,A17)</f>
        <v>33</v>
      </c>
      <c r="C17" s="15" t="n">
        <f aca="false">COUNTIFS('Thực thi nhóm 1'!$F$5:$F$53,A17,'Thực thi nhóm 1'!$N$5:$N$53,"&lt;&gt;Not Run")</f>
        <v>0</v>
      </c>
      <c r="D17" s="15" t="n">
        <f aca="false">COUNTIFS('Thực thi nhóm 1'!$F$5:$F$53,A17,'Thực thi nhóm 1'!$N$5:$N$53,"Pass")</f>
        <v>0</v>
      </c>
      <c r="E17" s="15" t="n">
        <f aca="false">COUNTIFS('Thực thi nhóm 1'!$F$5:$F$53,A17,'Thực thi nhóm 1'!$N$5:$N$53,"Fail")</f>
        <v>0</v>
      </c>
    </row>
    <row r="18" customFormat="false" ht="15" hidden="false" customHeight="false" outlineLevel="0" collapsed="false">
      <c r="A18" s="15" t="s">
        <v>112</v>
      </c>
      <c r="B18" s="15" t="n">
        <f aca="false">COUNTIF('Thực thi nhóm 1'!$F$5:$F$53,A18)</f>
        <v>12</v>
      </c>
      <c r="C18" s="15" t="n">
        <f aca="false">COUNTIFS('Thực thi nhóm 1'!$F$5:$F$53,A18,'Thực thi nhóm 1'!$N$5:$N$53,"&lt;&gt;Not Run")</f>
        <v>0</v>
      </c>
      <c r="D18" s="15" t="n">
        <f aca="false">COUNTIFS('Thực thi nhóm 1'!$F$5:$F$53,A18,'Thực thi nhóm 1'!$N$5:$N$53,"Pass")</f>
        <v>0</v>
      </c>
      <c r="E18" s="15" t="n">
        <f aca="false">COUNTIFS('Thực thi nhóm 1'!$F$5:$F$53,A18,'Thực thi nhóm 1'!$N$5:$N$53,"Fail")</f>
        <v>0</v>
      </c>
    </row>
    <row r="19" customFormat="false" ht="15" hidden="false" customHeight="false" outlineLevel="0" collapsed="false">
      <c r="A19" s="15" t="s">
        <v>91</v>
      </c>
      <c r="B19" s="15" t="n">
        <f aca="false">COUNTIF('Thực thi nhóm 1'!$F$5:$F$53,A19)</f>
        <v>4</v>
      </c>
      <c r="C19" s="15" t="n">
        <f aca="false">COUNTIFS('Thực thi nhóm 1'!$F$5:$F$53,A19,'Thực thi nhóm 1'!$N$5:$N$53,"&lt;&gt;Not Run")</f>
        <v>0</v>
      </c>
      <c r="D19" s="15" t="n">
        <f aca="false">COUNTIFS('Thực thi nhóm 1'!$F$5:$F$53,A19,'Thực thi nhóm 1'!$N$5:$N$53,"Pass")</f>
        <v>0</v>
      </c>
      <c r="E19" s="15" t="n">
        <f aca="false">COUNTIFS('Thực thi nhóm 1'!$F$5:$F$53,A19,'Thực thi nhóm 1'!$N$5:$N$53,"Fail")</f>
        <v>0</v>
      </c>
    </row>
    <row r="22" customFormat="false" ht="15" hidden="false" customHeight="false" outlineLevel="0" collapsed="false">
      <c r="A22" s="17" t="s">
        <v>377</v>
      </c>
    </row>
    <row r="23" customFormat="false" ht="15" hidden="false" customHeight="false" outlineLevel="0" collapsed="false">
      <c r="A23" s="8" t="s">
        <v>32</v>
      </c>
      <c r="B23" s="8" t="s">
        <v>375</v>
      </c>
      <c r="C23" s="8" t="s">
        <v>376</v>
      </c>
      <c r="D23" s="8" t="s">
        <v>22</v>
      </c>
      <c r="E23" s="8" t="s">
        <v>368</v>
      </c>
    </row>
    <row r="24" customFormat="false" ht="15" hidden="false" customHeight="false" outlineLevel="0" collapsed="false">
      <c r="A24" s="15" t="s">
        <v>43</v>
      </c>
      <c r="B24" s="15" t="n">
        <f aca="false">COUNTIF('Thực thi nhóm 1'!$C$5:$C$53,A24)</f>
        <v>12</v>
      </c>
      <c r="C24" s="15" t="n">
        <f aca="false">COUNTIFS('Thực thi nhóm 1'!$C$5:$C$53,A24,'Thực thi nhóm 1'!$N$5:$N$53,"&lt;&gt;Not Run")</f>
        <v>0</v>
      </c>
      <c r="D24" s="15" t="n">
        <f aca="false">COUNTIFS('Thực thi nhóm 1'!$C$5:$C$53,A24,'Thực thi nhóm 1'!$N$5:$N$53,"Pass")</f>
        <v>0</v>
      </c>
      <c r="E24" s="15" t="n">
        <f aca="false">COUNTIFS('Thực thi nhóm 1'!$C$5:$C$53,A24,'Thực thi nhóm 1'!$N$5:$N$53,"Fail")</f>
        <v>0</v>
      </c>
    </row>
    <row r="25" customFormat="false" ht="15" hidden="false" customHeight="false" outlineLevel="0" collapsed="false">
      <c r="A25" s="15" t="s">
        <v>133</v>
      </c>
      <c r="B25" s="15" t="n">
        <f aca="false">COUNTIF('Thực thi nhóm 1'!$C$5:$C$53,A25)</f>
        <v>4</v>
      </c>
      <c r="C25" s="15" t="n">
        <f aca="false">COUNTIFS('Thực thi nhóm 1'!$C$5:$C$53,A25,'Thực thi nhóm 1'!$N$5:$N$53,"&lt;&gt;Not Run")</f>
        <v>0</v>
      </c>
      <c r="D25" s="15" t="n">
        <f aca="false">COUNTIFS('Thực thi nhóm 1'!$C$5:$C$53,A25,'Thực thi nhóm 1'!$N$5:$N$53,"Pass")</f>
        <v>0</v>
      </c>
      <c r="E25" s="15" t="n">
        <f aca="false">COUNTIFS('Thực thi nhóm 1'!$C$5:$C$53,A25,'Thực thi nhóm 1'!$N$5:$N$53,"Fail")</f>
        <v>0</v>
      </c>
    </row>
    <row r="26" customFormat="false" ht="15" hidden="false" customHeight="false" outlineLevel="0" collapsed="false">
      <c r="A26" s="15" t="s">
        <v>159</v>
      </c>
      <c r="B26" s="15" t="n">
        <f aca="false">COUNTIF('Thực thi nhóm 1'!$C$5:$C$53,A26)</f>
        <v>5</v>
      </c>
      <c r="C26" s="15" t="n">
        <f aca="false">COUNTIFS('Thực thi nhóm 1'!$C$5:$C$53,A26,'Thực thi nhóm 1'!$N$5:$N$53,"&lt;&gt;Not Run")</f>
        <v>0</v>
      </c>
      <c r="D26" s="15" t="n">
        <f aca="false">COUNTIFS('Thực thi nhóm 1'!$C$5:$C$53,A26,'Thực thi nhóm 1'!$N$5:$N$53,"Pass")</f>
        <v>0</v>
      </c>
      <c r="E26" s="15" t="n">
        <f aca="false">COUNTIFS('Thực thi nhóm 1'!$C$5:$C$53,A26,'Thực thi nhóm 1'!$N$5:$N$53,"Fail")</f>
        <v>0</v>
      </c>
    </row>
    <row r="27" customFormat="false" ht="15" hidden="false" customHeight="false" outlineLevel="0" collapsed="false">
      <c r="A27" s="15" t="s">
        <v>192</v>
      </c>
      <c r="B27" s="15" t="n">
        <f aca="false">COUNTIF('Thực thi nhóm 1'!$C$5:$C$53,A27)</f>
        <v>14</v>
      </c>
      <c r="C27" s="15" t="n">
        <f aca="false">COUNTIFS('Thực thi nhóm 1'!$C$5:$C$53,A27,'Thực thi nhóm 1'!$N$5:$N$53,"&lt;&gt;Not Run")</f>
        <v>0</v>
      </c>
      <c r="D27" s="15" t="n">
        <f aca="false">COUNTIFS('Thực thi nhóm 1'!$C$5:$C$53,A27,'Thực thi nhóm 1'!$N$5:$N$53,"Pass")</f>
        <v>0</v>
      </c>
      <c r="E27" s="15" t="n">
        <f aca="false">COUNTIFS('Thực thi nhóm 1'!$C$5:$C$53,A27,'Thực thi nhóm 1'!$N$5:$N$53,"Fail")</f>
        <v>0</v>
      </c>
    </row>
    <row r="28" customFormat="false" ht="15" hidden="false" customHeight="false" outlineLevel="0" collapsed="false">
      <c r="A28" s="15" t="s">
        <v>278</v>
      </c>
      <c r="B28" s="15" t="n">
        <f aca="false">COUNTIF('Thực thi nhóm 1'!$C$5:$C$53,A28)</f>
        <v>13</v>
      </c>
      <c r="C28" s="15" t="n">
        <f aca="false">COUNTIFS('Thực thi nhóm 1'!$C$5:$C$53,A28,'Thực thi nhóm 1'!$N$5:$N$53,"&lt;&gt;Not Run")</f>
        <v>0</v>
      </c>
      <c r="D28" s="15" t="n">
        <f aca="false">COUNTIFS('Thực thi nhóm 1'!$C$5:$C$53,A28,'Thực thi nhóm 1'!$N$5:$N$53,"Pass")</f>
        <v>0</v>
      </c>
      <c r="E28" s="15" t="n">
        <f aca="false">COUNTIFS('Thực thi nhóm 1'!$C$5:$C$53,A28,'Thực thi nhóm 1'!$N$5:$N$53,"Fail")</f>
        <v>0</v>
      </c>
    </row>
    <row r="29" customFormat="false" ht="15" hidden="false" customHeight="false" outlineLevel="0" collapsed="false">
      <c r="A29" s="15" t="s">
        <v>356</v>
      </c>
      <c r="B29" s="15" t="n">
        <f aca="false">COUNTIF('Thực thi nhóm 1'!$C$5:$C$53,A29)</f>
        <v>1</v>
      </c>
      <c r="C29" s="15" t="n">
        <f aca="false">COUNTIFS('Thực thi nhóm 1'!$C$5:$C$53,A29,'Thực thi nhóm 1'!$N$5:$N$53,"&lt;&gt;Not Run")</f>
        <v>0</v>
      </c>
      <c r="D29" s="15" t="n">
        <f aca="false">COUNTIFS('Thực thi nhóm 1'!$C$5:$C$53,A29,'Thực thi nhóm 1'!$N$5:$N$53,"Pass")</f>
        <v>0</v>
      </c>
      <c r="E29" s="15" t="n">
        <f aca="false">COUNTIFS('Thực thi nhóm 1'!$C$5:$C$53,A29,'Thực thi nhóm 1'!$N$5:$N$53,"Fail")</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2026-10-12T07:07:41Z</dcterms:created>
  <dc:creator>openpyxl</dc:creator>
  <dc:description/>
  <dc:language>en-US</dc:language>
  <cp:lastModifiedBy/>
  <dcterms:modified xsi:type="dcterms:W3CDTF">2026-10-12T07:07:42Z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