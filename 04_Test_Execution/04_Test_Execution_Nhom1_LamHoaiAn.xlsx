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Thực thi nhóm 1" sheetId="2" state="visible" r:id="rId4"/>
    <sheet name="Tổng hợp" sheetId="3" state="visible" r:id="rId5"/>
  </sheets>
  <definedNames>
    <definedName function="false" hidden="true" localSheetId="1" name="_xlnm._FilterDatabase" vbProcedure="false">'Thực thi nhóm 1'!$A$4:$Q$53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<sst xmlns="http://schemas.openxmlformats.org/spreadsheetml/2006/main" count="712" uniqueCount="441">
  <si>
    <t xml:space="preserve">Cách dùng file này</t>
  </si>
  <si>
    <t xml:space="preserve">Mục đích</t>
  </si>
  <si>
    <t xml:space="preserve">Ghi kết quả chạy 49 test case của Nhóm 1 (M1–M5 + F49). File này là sản phẩm cho thư mục 04_Test_Execution/.</t>
  </si>
  <si>
    <t xml:space="preserve">Ô cần nhập (nền vàng)</t>
  </si>
  <si>
    <t xml:space="preserve">Kết quả thực tế · Trạng thái (chọn trong danh sách) · Bug ID · Ngày test · Ảnh chụp (tên file).</t>
  </si>
  <si>
    <t xml:space="preserve">Cột nền cam</t>
  </si>
  <si>
    <t xml:space="preserve">Điều chỉnh theo review: chỗ Review_TestCase_Nhom1 đề nghị sửa kết quả mong đợi hoặc ghi chú cách test. Đây là đề xuất chờ QA Lead duyệt, nên nếu hệ thống chạy khác bản gốc thì ghi rõ trong Kết quả thực tế.</t>
  </si>
  <si>
    <t xml:space="preserve">Trạng thái</t>
  </si>
  <si>
    <t xml:space="preserve">Not Run (mặc định) · Pass · Fail · Blocked · N/A. Trùng danh sách trong Checklist_TestCase.xlsx.</t>
  </si>
  <si>
    <t xml:space="preserve">Khi Fail</t>
  </si>
  <si>
    <t xml:space="preserve">Ghi Bug ID (BUG-xxx) và gửi cho Khang (người lập Bug Report). Chụp ảnh màn hình đặt tên theo TC ID, ví dụ TC001_fail.png.</t>
  </si>
  <si>
    <t xml:space="preserve">Thứ tự nên chạy</t>
  </si>
  <si>
    <t xml:space="preserve">P1 trước (lọc cột Ưu tiên = P1), rồi P2, P3. Theo Test Plan, test case P1 luôn chạy trước.</t>
  </si>
  <si>
    <t xml:space="preserve">Sheet Tổng hợp</t>
  </si>
  <si>
    <t xml:space="preserve">Tự đếm Pass/Fail/Not Run theo ưu tiên và module. Không gõ đè.</t>
  </si>
  <si>
    <t xml:space="preserve">Lưu ý dữ liệu</t>
  </si>
  <si>
    <t xml:space="preserve">Sao lưu CSDL trước mỗi đợt chạy (rủi ro 'dữ liệu test bị hỏng' trong Test Plan). Dùng tài khoản riêng cho mình.</t>
  </si>
  <si>
    <t xml:space="preserve">Ví dụ một dòng đã điền (minh hoạ, không nằm trong bảng dữ liệu)</t>
  </si>
  <si>
    <t xml:space="preserve">TC ID</t>
  </si>
  <si>
    <t xml:space="preserve">TC001</t>
  </si>
  <si>
    <t xml:space="preserve">Kết quả thực tế</t>
  </si>
  <si>
    <t xml:space="preserve">Hiện "Account created! You can now sign in.", ở lại trang đăng ký, DB có 1 bản ghi mới</t>
  </si>
  <si>
    <t xml:space="preserve">Pass</t>
  </si>
  <si>
    <t xml:space="preserve">Bug ID</t>
  </si>
  <si>
    <t xml:space="preserve">(để trống nếu Pass)</t>
  </si>
  <si>
    <t xml:space="preserve">Ngày test</t>
  </si>
  <si>
    <t xml:space="preserve">13/10/2026</t>
  </si>
  <si>
    <t xml:space="preserve">Ảnh chụp (tên file)</t>
  </si>
  <si>
    <t xml:space="preserve">TC001_pass.png</t>
  </si>
  <si>
    <t xml:space="preserve">Môi trường test (điền ô vàng)</t>
  </si>
  <si>
    <t xml:space="preserve">Môi trường</t>
  </si>
  <si>
    <t xml:space="preserve">Bản online (hosting)</t>
  </si>
  <si>
    <t xml:space="preserve">Địa chỉ</t>
  </si>
  <si>
    <t xml:space="preserve">https://nhanvatso.gamer.gd/anyn/index.php</t>
  </si>
  <si>
    <t xml:space="preserve">Trình duyệt / phiên bản</t>
  </si>
  <si>
    <t xml:space="preserve">Microsoft Edge – 155.0.4283.45</t>
  </si>
  <si>
    <t xml:space="preserve">Thiết bị</t>
  </si>
  <si>
    <t xml:space="preserve">Desktop – 1366 x 768</t>
  </si>
  <si>
    <t xml:space="preserve">Tài khoản test</t>
  </si>
  <si>
    <t xml:space="preserve">guest · user01 · user02 · admin (không ghi mật khẩu vào file này)</t>
  </si>
  <si>
    <t xml:space="preserve">Ngày bắt đầu test</t>
  </si>
  <si>
    <t xml:space="preserve">12/10/2026</t>
  </si>
  <si>
    <t xml:space="preserve">Đã báo QA Lead đổi môi trường</t>
  </si>
  <si>
    <t xml:space="preserve">Có</t>
  </si>
  <si>
    <t xml:space="preserve">Việc đầu tiên: kiểm tra bản online khớp mã nguồn</t>
  </si>
  <si>
    <t xml:space="preserve">Đăng ký xong hiện "Account created! You can now sign in.", vẫn ở trang đăng ký, chưa tự đăng nhập.</t>
  </si>
  <si>
    <t xml:space="preserve">TC006</t>
  </si>
  <si>
    <t xml:space="preserve">Sai mật khẩu 5 lần cùng email thì lần 6 (dù nhập đúng) bị chặn, hiện thông báo phải chờ 15 phút.</t>
  </si>
  <si>
    <t xml:space="preserve">TC015</t>
  </si>
  <si>
    <t xml:space="preserve">User thường vào trang admin bị chặn (trong mã nguồn là "Access Denied" nhưng mã HTTP vẫn 200).</t>
  </si>
  <si>
    <t xml:space="preserve">Kết luận</t>
  </si>
  <si>
    <t xml:space="preserve">Nếu cả 3 khớp thì bản online giống mã nguồn. Nếu lệch thì ghi lại, vì bản online là phiên bản khác với repo.</t>
  </si>
  <si>
    <t xml:space="preserve">04_Test_Execution – Nhóm chức năng 1 (M1–M5 + F49) – ANYN</t>
  </si>
  <si>
    <t xml:space="preserve">Người thực hiện: Lâm Hoài An (Functional Tester 1). Cột nền vàng là ô để nhập kết quả. Các cột còn lại lấy từ Checklist_TestCase.xlsx và Review_TestCase_Nhom1.xlsx, không gõ đè.</t>
  </si>
  <si>
    <t xml:space="preserve">Môi trường test: bản online – https://nhanvatso.gamer.gd/anyn/index.php (chi tiết ở sheet Hướng dẫn)</t>
  </si>
  <si>
    <t xml:space="preserve">Mã CN</t>
  </si>
  <si>
    <t xml:space="preserve">Module</t>
  </si>
  <si>
    <t xml:space="preserve">Chức năng</t>
  </si>
  <si>
    <t xml:space="preserve">Tiêu đề test case</t>
  </si>
  <si>
    <t xml:space="preserve">Ưu tiên</t>
  </si>
  <si>
    <t xml:space="preserve">Điều kiện tiên quyết</t>
  </si>
  <si>
    <t xml:space="preserve">Các bước thực hiện</t>
  </si>
  <si>
    <t xml:space="preserve">Dữ liệu test</t>
  </si>
  <si>
    <t xml:space="preserve">Kết quả mong đợi (bản gốc)</t>
  </si>
  <si>
    <t xml:space="preserve">Mức review</t>
  </si>
  <si>
    <t xml:space="preserve">Điều chỉnh theo review (nếu có)</t>
  </si>
  <si>
    <t xml:space="preserve">F01</t>
  </si>
  <si>
    <t xml:space="preserve">M1 – Tài khoản</t>
  </si>
  <si>
    <t xml:space="preserve">Đăng ký tài khoản</t>
  </si>
  <si>
    <t xml:space="preserve">Đăng ký thành công với dữ liệu hợp lệ</t>
  </si>
  <si>
    <t xml:space="preserve">P1</t>
  </si>
  <si>
    <t xml:space="preserve">Chưa đăng nhập</t>
  </si>
  <si>
    <t xml:space="preserve">1. Mở trang Đăng ký
2. Nhập username, email, mật khẩu hợp lệ
3. Bấm Đăng ký</t>
  </si>
  <si>
    <t xml:space="preserve">user: tester01 / tester01@mail.com / Test1234</t>
  </si>
  <si>
    <t xml:space="preserve">Tạo tài khoản, chuyển sang đăng nhập hoặc vào trang chủ; role = user; DB có 1 bản ghi mới</t>
  </si>
  <si>
    <t xml:space="preserve">Sửa</t>
  </si>
  <si>
    <t xml:space="preserve">Kết quả mong đợi ghi "chuyển sang đăng nhập hoặc vào trang chủ". → Hiện "Account created! You can now sign in."; vẫn ở trang đăng ký, chưa đăng nhập; DB có 1 bản ghi role = user, email lưu chữ thường, mật khẩu là bcrypt hash.</t>
  </si>
  <si>
    <t xml:space="preserve">Đăng ký thành công, hiện "Account created! You can now sign in." kèm liên kết "Sign in →" sang trang đăng nhập. Chưa tự đăng nhập. CSDL bảng users đã đối chiếu: role = user, email chữ thường, mật khẩu bcrypt.</t>
  </si>
  <si>
    <t xml:space="preserve">TC002</t>
  </si>
  <si>
    <t xml:space="preserve">Đăng ký trùng email</t>
  </si>
  <si>
    <t xml:space="preserve">Đã có tài khoản tester01@mail.com</t>
  </si>
  <si>
    <t xml:space="preserve">Đăng ký lại với email đã tồn tại, username khác</t>
  </si>
  <si>
    <t xml:space="preserve">email trùng</t>
  </si>
  <si>
    <t xml:space="preserve">Báo lỗi email đã tồn tại, không tạo tài khoản mới</t>
  </si>
  <si>
    <t xml:space="preserve">Mong đợi "báo lỗi email đã tồn tại" nhưng hệ thống dùng chung một thông báo. → Báo "Username or Email already in use."; không tạo tài khoản; thông báo không cho biết mục nào bị trùng.</t>
  </si>
  <si>
    <t xml:space="preserve">Đăng ký lại với email đã tồn tại: hiện "Username or Email already in use."; thông báo chung, không cho biết mục nào bị trùng.</t>
  </si>
  <si>
    <t xml:space="preserve">TC003</t>
  </si>
  <si>
    <t xml:space="preserve">Mật khẩu ngắn hơn 8 ký tự</t>
  </si>
  <si>
    <t xml:space="preserve">Nhập mật khẩu 7 ký tự</t>
  </si>
  <si>
    <t xml:space="preserve">Abc1234</t>
  </si>
  <si>
    <t xml:space="preserve">Báo lỗi 'at least 8 characters'</t>
  </si>
  <si>
    <t xml:space="preserve">Nhập mật khẩu 7 ký tự (Abc1234): trình duyệt chặn gửi form và hiện "Vui lòng kéo dài văn bản này thành 8 ký tự hoặc nhiều hơn (bạn đang sử dụng 7 ký tự)". Đây là thông báo kiểm tra của trình duyệt (minlength=8), không phải thông báo của server; chưa kiểm tra phía server.</t>
  </si>
  <si>
    <t xml:space="preserve">TC004</t>
  </si>
  <si>
    <t xml:space="preserve">F02</t>
  </si>
  <si>
    <t xml:space="preserve">Đăng nhập</t>
  </si>
  <si>
    <t xml:space="preserve">Đăng nhập đúng</t>
  </si>
  <si>
    <t xml:space="preserve">Có tài khoản user</t>
  </si>
  <si>
    <t xml:space="preserve">Nhập email + mật khẩu đúng</t>
  </si>
  <si>
    <t xml:space="preserve">tester01</t>
  </si>
  <si>
    <t xml:space="preserve">Đăng nhập thành công, header hiện tên/menu người dùng</t>
  </si>
  <si>
    <t xml:space="preserve">Đăng nhập đúng email + mật khẩu: đăng nhập thành công, header hiện tên/menu người dùng.</t>
  </si>
  <si>
    <t xml:space="preserve">TC005</t>
  </si>
  <si>
    <t xml:space="preserve">Đăng nhập sai mật khẩu</t>
  </si>
  <si>
    <t xml:space="preserve">Nhập email đúng, mật khẩu sai</t>
  </si>
  <si>
    <t xml:space="preserve">sai mật khẩu</t>
  </si>
  <si>
    <t xml:space="preserve">Báo lỗi chung, không đăng nhập; không tiết lộ email có tồn tại</t>
  </si>
  <si>
    <t xml:space="preserve">Ghi chú</t>
  </si>
  <si>
    <t xml:space="preserve">Hiện "Invalid email or password."</t>
  </si>
  <si>
    <t xml:space="preserve">Nhập email đúng, mật khẩu sai: hiện "Invalid email or password."; không đăng nhập.</t>
  </si>
  <si>
    <t xml:space="preserve">F03</t>
  </si>
  <si>
    <t xml:space="preserve">Chống dò mật khẩu (throttle)</t>
  </si>
  <si>
    <t xml:space="preserve">Sai 5 lần liên tiếp cùng email</t>
  </si>
  <si>
    <t xml:space="preserve">Đăng nhập sai mật khẩu 5 lần, lần 6 nhập đúng</t>
  </si>
  <si>
    <t xml:space="preserve">15 phút</t>
  </si>
  <si>
    <t xml:space="preserve">Lần 6 bị chặn, có thông báo bị khóa tạm thời</t>
  </si>
  <si>
    <t xml:space="preserve">Lần 6 (dù nhập đúng) hiện "Too many failed attempts. Please wait 15 minutes and try again."</t>
  </si>
  <si>
    <t xml:space="preserve">Đăng nhập sai mật khẩu 5 lần liền với tài khoản user01; lần 6 bị chặn, hiện "Too many failed attempts. Please wait 15 minutes and try again."</t>
  </si>
  <si>
    <t xml:space="preserve">TC006_pass.png</t>
  </si>
  <si>
    <t xml:space="preserve">TC007</t>
  </si>
  <si>
    <t xml:space="preserve">Hết thời gian khóa</t>
  </si>
  <si>
    <t xml:space="preserve">P3</t>
  </si>
  <si>
    <t xml:space="preserve">Đang bị khóa</t>
  </si>
  <si>
    <t xml:space="preserve">Chờ qua 15 phút (hoặc sửa bản ghi login_attempts) rồi đăng nhập</t>
  </si>
  <si>
    <t xml:space="preserve">Đăng nhập lại được</t>
  </si>
  <si>
    <t xml:space="preserve">Đăng nhập lại được.</t>
  </si>
  <si>
    <t xml:space="preserve">TC008</t>
  </si>
  <si>
    <t xml:space="preserve">F04</t>
  </si>
  <si>
    <t xml:space="preserve">Đăng xuất</t>
  </si>
  <si>
    <t xml:space="preserve">Đã đăng nhập</t>
  </si>
  <si>
    <t xml:space="preserve">Bấm Đăng xuất, sau đó nhấn nút Back của trình duyệt</t>
  </si>
  <si>
    <t xml:space="preserve">Session bị hủy; Back không vào lại được trang cần đăng nhập</t>
  </si>
  <si>
    <t xml:space="preserve">Nhấn Back có thể hiện trang từ bộ nhớ đệm trình duyệt dù phiên đã hủy, dễ bị nhầm là lỗi. → Sau Back, bấm F5 hoặc bấm một liên kết: phải bị chuyển/chặn vì chưa đăng nhập. Chỉ ghi lỗi nếu F5 vẫn vào được.</t>
  </si>
  <si>
    <t xml:space="preserve">Đăng xuất rồi nhấn Back, sau đó F5: bị chuyển về trang chủ (index.php), không phải trang đăng nhập; không vào lại được trang cần đăng nhập. Khác mong đợi gốc (về login) nhưng vẫn bị chặn.</t>
  </si>
  <si>
    <t xml:space="preserve">TC009</t>
  </si>
  <si>
    <t xml:space="preserve">F05</t>
  </si>
  <si>
    <t xml:space="preserve">Quên mật khẩu</t>
  </si>
  <si>
    <t xml:space="preserve">Yêu cầu reset với email tồn tại</t>
  </si>
  <si>
    <t xml:space="preserve">Có tài khoản</t>
  </si>
  <si>
    <t xml:space="preserve">Nhập email đúng ở trang Quên mật khẩu</t>
  </si>
  <si>
    <t xml:space="preserve">email hợp lệ</t>
  </si>
  <si>
    <t xml:space="preserve">Có thông báo đã gửi (hoặc hiện link reset khi APP_ENV=development)</t>
  </si>
  <si>
    <t xml:space="preserve">Nhập email đúng: hiện "If that email is registered, a reset link has been sent. It expires in 30 minutes." kèm dòng "Dev mode (no mail server): open reset link" chứa link đặt lại mật khẩu (bản online đang ở APP_ENV=development, không có mail server). Ghi chú: theo mã nguồn, link này chỉ hiện với email đã đăng ký nên có thể phân biệt email có tồn tại; chuyển Khang xem xét lập Bug Report.</t>
  </si>
  <si>
    <t xml:space="preserve">TC010</t>
  </si>
  <si>
    <t xml:space="preserve">Yêu cầu reset với email không tồn tại</t>
  </si>
  <si>
    <t xml:space="preserve">P2</t>
  </si>
  <si>
    <t xml:space="preserve">Nhập email chưa đăng ký</t>
  </si>
  <si>
    <t xml:space="preserve">none@mail.com</t>
  </si>
  <si>
    <t xml:space="preserve">Thông báo trung tính, không lộ email có tồn tại hay không</t>
  </si>
  <si>
    <t xml:space="preserve">Hiện "If that email is registered, a reset link has been sent. It expires in 30 minutes." giống trường hợp email tồn tại.</t>
  </si>
  <si>
    <t xml:space="preserve">Nhập email chưa đăng ký: hiện "If that email is registered, a reset link has been sent. It expires in 30 minutes.", giống trường hợp email tồn tại.</t>
  </si>
  <si>
    <t xml:space="preserve">TC011</t>
  </si>
  <si>
    <t xml:space="preserve">F06</t>
  </si>
  <si>
    <t xml:space="preserve">Đặt lại mật khẩu bằng token</t>
  </si>
  <si>
    <t xml:space="preserve">Reset bằng token hợp lệ</t>
  </si>
  <si>
    <t xml:space="preserve">Có link reset</t>
  </si>
  <si>
    <t xml:space="preserve">Mở link, nhập mật khẩu mới hợp lệ</t>
  </si>
  <si>
    <t xml:space="preserve">Newpass123</t>
  </si>
  <si>
    <t xml:space="preserve">Đổi mật khẩu thành công, đăng nhập được bằng mật khẩu mới</t>
  </si>
  <si>
    <t xml:space="preserve">Mở link reset từ trang Quên mật khẩu, nhập mật khẩu mới hợp lệ: đổi mật khẩu thành công, đăng nhập lại được bằng mật khẩu mới.</t>
  </si>
  <si>
    <t xml:space="preserve">TC012</t>
  </si>
  <si>
    <t xml:space="preserve">Dùng lại token đã sử dụng</t>
  </si>
  <si>
    <t xml:space="preserve">Token đã dùng</t>
  </si>
  <si>
    <t xml:space="preserve">Mở lại link reset cũ</t>
  </si>
  <si>
    <t xml:space="preserve">Báo token không hợp lệ/đã dùng</t>
  </si>
  <si>
    <t xml:space="preserve">Hiện "This reset link is invalid or has expired."</t>
  </si>
  <si>
    <t xml:space="preserve">Mở lại link reset đã dùng ở TC011: hiện "This reset link is invalid or has expired."</t>
  </si>
  <si>
    <t xml:space="preserve">TC013</t>
  </si>
  <si>
    <t xml:space="preserve">F07</t>
  </si>
  <si>
    <t xml:space="preserve">M2 – Phân quyền</t>
  </si>
  <si>
    <t xml:space="preserve">Truy cập theo vai trò Guest/User/Admin</t>
  </si>
  <si>
    <t xml:space="preserve">Guest vào trang cần đăng nhập</t>
  </si>
  <si>
    <t xml:space="preserve">Mở trực tiếp profile.php, commission.php, shop.php, my_commissions.php, submit_idea.php</t>
  </si>
  <si>
    <t xml:space="preserve">URL trực tiếp</t>
  </si>
  <si>
    <t xml:space="preserve">Chuyển hướng về trang đăng nhập</t>
  </si>
  <si>
    <t xml:space="preserve">Mong đợi "chuyển hướng về trang đăng nhập" đúng cho ít trang hơn thực tế. → profile.php: chuyển về login.php. commission/my_commissions/submit_idea: "Access Denied" + liên kết log in. shop/community_upload: "Sign in required". Không lộ dữ liệu người dùng.</t>
  </si>
  <si>
    <t xml:space="preserve">Guest mở trực tiếp các trang cần đăng nhập, đúng như review: profile.php chuyển về login.php; commission/my_commissions/submit_idea hiện "Access Denied" kèm liên kết đăng nhập; shop/community_upload hiện "Sign in required". Không lộ dữ liệu người dùng.</t>
  </si>
  <si>
    <t xml:space="preserve">TC014</t>
  </si>
  <si>
    <t xml:space="preserve">Guest vào trang Admin</t>
  </si>
  <si>
    <t xml:space="preserve">Mở admin_bots.php, admin_stats.php, admin_community.php, admin_groups.php, admin_add_bot.php</t>
  </si>
  <si>
    <t xml:space="preserve">Bị chặn (403 hoặc chuyển hướng), không lộ dữ liệu</t>
  </si>
  <si>
    <t xml:space="preserve">Mong đợi "403 hoặc chuyển hướng" quá rộng; hành vi mỗi trang khác nhau. → Ghi mong đợi theo từng trang (thông báo "Access Denied" hoặc chuyển về trang chủ) và ghi lại mã HTTP thực tế.</t>
  </si>
  <si>
    <t xml:space="preserve">Not Run</t>
  </si>
  <si>
    <t xml:space="preserve">User thường vào trang Admin</t>
  </si>
  <si>
    <t xml:space="preserve">Đăng nhập user</t>
  </si>
  <si>
    <t xml:space="preserve">Mở từng trang admin_* bằng URL</t>
  </si>
  <si>
    <t xml:space="preserve">Hiện 'Access Denied', mã 403</t>
  </si>
  <si>
    <t xml:space="preserve">Sửa – có thể là lỗi</t>
  </si>
  <si>
    <t xml:space="preserve">Mong đợi theo thiết kế bảo mật: 403 và không lộ dữ liệu. Nếu thực tế là HTTP 200 kèm thông báo "Access Denied": ghi vào Bug Log (mức Low/Medium) và đánh dấu TC là Fail theo tiêu chí mã 403. admin_add_bot chuyển về trang chủ.</t>
  </si>
  <si>
    <t xml:space="preserve">Đăng nhập user01, mở /anyn/pages/admin_bots.php: hiện "Access Denied! Admin privileges required." nhưng HTTP Status là 200 (xem tab Network), không phải 403 như mong đợi.</t>
  </si>
  <si>
    <t xml:space="preserve">Fail</t>
  </si>
  <si>
    <t xml:space="preserve">(chờ Khang cấp mã BUG)</t>
  </si>
  <si>
    <t xml:space="preserve">TC015_fail.png</t>
  </si>
  <si>
    <t xml:space="preserve">TC016</t>
  </si>
  <si>
    <t xml:space="preserve">Admin truy cập đầy đủ</t>
  </si>
  <si>
    <t xml:space="preserve">Đăng nhập admin</t>
  </si>
  <si>
    <t xml:space="preserve">Mở tất cả trang admin_*</t>
  </si>
  <si>
    <t xml:space="preserve">Truy cập bình thường</t>
  </si>
  <si>
    <t xml:space="preserve">Đăng nhập admin, mở các trang admin_*: truy cập bình thường.</t>
  </si>
  <si>
    <t xml:space="preserve">TC017</t>
  </si>
  <si>
    <t xml:space="preserve">F08</t>
  </si>
  <si>
    <t xml:space="preserve">M3 – Trang chủ &amp; Tìm kiếm</t>
  </si>
  <si>
    <t xml:space="preserve">Trang chủ</t>
  </si>
  <si>
    <t xml:space="preserve">Trang chủ hiển thị đầy đủ</t>
  </si>
  <si>
    <t xml:space="preserve">Mở index.php</t>
  </si>
  <si>
    <t xml:space="preserve">Banner, menu, nội dung nổi bật tải đủ, không lỗi PHP/ảnh vỡ</t>
  </si>
  <si>
    <t xml:space="preserve">Ngoài banner và nội dung, đối chiếu các số liệu tổng quan với dữ liệu trong DB.</t>
  </si>
  <si>
    <t xml:space="preserve">TC018</t>
  </si>
  <si>
    <t xml:space="preserve">Điều hướng menu</t>
  </si>
  <si>
    <t xml:space="preserve">Bấm lần lượt các mục menu</t>
  </si>
  <si>
    <t xml:space="preserve">Mỗi mục dẫn đúng trang, không 404</t>
  </si>
  <si>
    <t xml:space="preserve">Test lần lượt với Guest, user, admin; link quản trị chỉ hiện với admin.</t>
  </si>
  <si>
    <t xml:space="preserve">Bấm lần lượt các mục menu: mỗi mục dẫn đúng trang, không gặp 404.</t>
  </si>
  <si>
    <t xml:space="preserve">TC019</t>
  </si>
  <si>
    <t xml:space="preserve">F09</t>
  </si>
  <si>
    <t xml:space="preserve">Gợi ý tìm kiếm</t>
  </si>
  <si>
    <t xml:space="preserve">Gợi ý tìm kiếm có kết quả</t>
  </si>
  <si>
    <t xml:space="preserve">Gõ từ khóa có trong dữ liệu</t>
  </si>
  <si>
    <t xml:space="preserve">1-3 ký tự đầu của tên bot</t>
  </si>
  <si>
    <t xml:space="preserve">Danh sách gợi ý hợp lý, định dạng đúng</t>
  </si>
  <si>
    <t xml:space="preserve">Trả JSON gồm id, name, image_url; chỉ khớp tên bot (không khớp mô tả).</t>
  </si>
  <si>
    <t xml:space="preserve">Gõ vài ký tự đầu tên bot: hiện thanh gợi ý gồm avatar và tên bot, bấm vào được. Không tìm được theo mô tả (chỉ khớp tên bot), đúng như review.</t>
  </si>
  <si>
    <t xml:space="preserve">TC020</t>
  </si>
  <si>
    <t xml:space="preserve">Tìm kiếm không có kết quả</t>
  </si>
  <si>
    <t xml:space="preserve">Gõ từ khóa không tồn tại</t>
  </si>
  <si>
    <t xml:space="preserve">zzzzqq</t>
  </si>
  <si>
    <t xml:space="preserve">Trả về rỗng hoặc thông báo, không lỗi</t>
  </si>
  <si>
    <t xml:space="preserve">Gợi ý: mảng rỗng []. Trang chủ: "No characters found. Try a different search."</t>
  </si>
  <si>
    <t xml:space="preserve">Gõ từ khóa không tồn tại: thanh gợi ý nhỏ báo không tìm thấy nhân vật; bấm Enter xuống trang chủ hiện "No characters found. Try a different search."</t>
  </si>
  <si>
    <t xml:space="preserve">TC021</t>
  </si>
  <si>
    <t xml:space="preserve">F10</t>
  </si>
  <si>
    <t xml:space="preserve">Trang giới thiệu</t>
  </si>
  <si>
    <t xml:space="preserve">Trang About</t>
  </si>
  <si>
    <t xml:space="preserve">Mở about.php</t>
  </si>
  <si>
    <t xml:space="preserve">Nội dung hiển thị đúng, link hoạt động</t>
  </si>
  <si>
    <t xml:space="preserve">Mở about.php: nội dung hiển thị đúng, link hoạt động.</t>
  </si>
  <si>
    <t xml:space="preserve">TC022</t>
  </si>
  <si>
    <t xml:space="preserve">F11</t>
  </si>
  <si>
    <t xml:space="preserve">M4 – Gallery &amp; Bot</t>
  </si>
  <si>
    <t xml:space="preserve">Danh sách Gallery / lọc</t>
  </si>
  <si>
    <t xml:space="preserve">Xem danh sách Gallery</t>
  </si>
  <si>
    <t xml:space="preserve">Mở gallery.php</t>
  </si>
  <si>
    <t xml:space="preserve">Ảnh tải đầy đủ, có phân nhóm</t>
  </si>
  <si>
    <t xml:space="preserve">Mở gallery.php: ảnh tải đầy đủ, có phân nhóm.</t>
  </si>
  <si>
    <t xml:space="preserve">TC023</t>
  </si>
  <si>
    <t xml:space="preserve">Lọc/ phân trang Gallery</t>
  </si>
  <si>
    <t xml:space="preserve">Dùng bộ lọc và chuyển trang</t>
  </si>
  <si>
    <t xml:space="preserve">Kết quả đúng bộ lọc, không trùng/mất ảnh</t>
  </si>
  <si>
    <t xml:space="preserve">Gallery không có bộ lọc hay phân trang phía server. → Đổi thành: mở rộng/thu gọn nhóm; nhóm trên 4 ảnh chỉ hiện 4 ảnh khi thu gọn, mở rộng thì đủ ảnh, không trùng/mất ảnh.</t>
  </si>
  <si>
    <t xml:space="preserve">Mở rộng/thu gọn nhóm ảnh: hoạt động đúng, không trùng/mất ảnh.</t>
  </si>
  <si>
    <t xml:space="preserve">TC024</t>
  </si>
  <si>
    <t xml:space="preserve">F12</t>
  </si>
  <si>
    <t xml:space="preserve">Chi tiết nhóm ảnh</t>
  </si>
  <si>
    <t xml:space="preserve">Mở nhóm ảnh hợp lệ</t>
  </si>
  <si>
    <t xml:space="preserve">Bấm vào một nhóm</t>
  </si>
  <si>
    <t xml:space="preserve">id hợp lệ</t>
  </si>
  <si>
    <t xml:space="preserve">Hiển thị các ảnh thuộc nhóm</t>
  </si>
  <si>
    <t xml:space="preserve">Sai nội dung trang: group_detail.php hiển thị bot, không phải ảnh. → Hiển thị các bot (thẻ nhân vật kèm theme) thuộc bộ sưu tập đó.</t>
  </si>
  <si>
    <t xml:space="preserve">Bấm vào một nhóm: group_detail.php hiển thị các bot (không phải ảnh), đúng như review.</t>
  </si>
  <si>
    <t xml:space="preserve">TC025</t>
  </si>
  <si>
    <t xml:space="preserve">Nhóm ảnh id không tồn tại / không hợp lệ</t>
  </si>
  <si>
    <t xml:space="preserve">Mở group_detail.php?id=999999 và id=abc</t>
  </si>
  <si>
    <t xml:space="preserve">id lạ</t>
  </si>
  <si>
    <t xml:space="preserve">Thông báo không tìm thấy, không lỗi PHP/SQL</t>
  </si>
  <si>
    <t xml:space="preserve">id=999999 và id=abc: "Collection does not exist!"; không có tham số id: "Collection not found!".</t>
  </si>
  <si>
    <t xml:space="preserve">id=999999 và id=abc: hiện "Collection does not exist!", đúng như review.</t>
  </si>
  <si>
    <t xml:space="preserve">TC026</t>
  </si>
  <si>
    <t xml:space="preserve">F13</t>
  </si>
  <si>
    <t xml:space="preserve">Chi tiết Bot</t>
  </si>
  <si>
    <t xml:space="preserve">Xem chi tiết Bot</t>
  </si>
  <si>
    <t xml:space="preserve">Mở bot_detail.php?id=&lt;hợp lệ&gt;</t>
  </si>
  <si>
    <t xml:space="preserve">Hiển thị thông tin, tag, điểm, bình luận</t>
  </si>
  <si>
    <t xml:space="preserve">Mở bot_detail.php với id hợp lệ: hiển thị thông tin, tag, điểm, bình luận.</t>
  </si>
  <si>
    <t xml:space="preserve">TC027</t>
  </si>
  <si>
    <t xml:space="preserve">Bot id không tồn tại</t>
  </si>
  <si>
    <t xml:space="preserve">Mở id=999999 và id=' OR 1=1</t>
  </si>
  <si>
    <t xml:space="preserve">Xử lý an toàn, không lộ lỗi SQL</t>
  </si>
  <si>
    <t xml:space="preserve">id=999999: thông báo không tìm thấy; id=' OR 1=1 bị ép thành 0 nên xử lý an toàn (chuyển về trang chủ hoặc báo không tìm thấy); không lộ lỗi SQL.</t>
  </si>
  <si>
    <t xml:space="preserve">id=9999: hiện "Character not found."; id=' OR 1=1: cũng hiện "Character not found."; không lộ lỗi SQL.</t>
  </si>
  <si>
    <t xml:space="preserve">TC028</t>
  </si>
  <si>
    <t xml:space="preserve">F14</t>
  </si>
  <si>
    <t xml:space="preserve">Chấm điểm Bot</t>
  </si>
  <si>
    <t xml:space="preserve">Chấm điểm hợp lệ</t>
  </si>
  <si>
    <t xml:space="preserve">Chọn điểm và gửi</t>
  </si>
  <si>
    <t xml:space="preserve">điểm 1..5</t>
  </si>
  <si>
    <t xml:space="preserve">Điểm được lưu, điểm trung bình cập nhật</t>
  </si>
  <si>
    <t xml:space="preserve">Chấm điểm hợp lệ: điểm được lưu, điểm trung bình cập nhật.</t>
  </si>
  <si>
    <t xml:space="preserve">TC029</t>
  </si>
  <si>
    <t xml:space="preserve">Chấm điểm ngoài khoảng cho phép</t>
  </si>
  <si>
    <t xml:space="preserve">Sửa giá trị score trong DevTools thành 0, 6, -1, 99, 'abc'</t>
  </si>
  <si>
    <t xml:space="preserve">score bất hợp lệ</t>
  </si>
  <si>
    <t xml:space="preserve">Bị từ chối, không lưu</t>
  </si>
  <si>
    <t xml:space="preserve">Ghi nhận hành vi thực tế: điểm bị ép về 1 hoặc 5 và vẫn được lưu. Nếu nhóm coi dữ liệu sai nên bị từ chối thì ghi Bug Log (mức Low) và TC này Fail.</t>
  </si>
  <si>
    <t xml:space="preserve">TC030</t>
  </si>
  <si>
    <t xml:space="preserve">F15</t>
  </si>
  <si>
    <t xml:space="preserve">Thêm bình luận</t>
  </si>
  <si>
    <t xml:space="preserve">Thêm bình luận hợp lệ</t>
  </si>
  <si>
    <t xml:space="preserve">Nhập nội dung, gửi</t>
  </si>
  <si>
    <t xml:space="preserve">Bình luận 1 dòng</t>
  </si>
  <si>
    <t xml:space="preserve">Bình luận xuất hiện đúng người, đúng thời gian</t>
  </si>
  <si>
    <t xml:space="preserve">Thêm bình luận hợp lệ: bình luận xuất hiện đúng người, đúng thời gian.</t>
  </si>
  <si>
    <t xml:space="preserve">TC031</t>
  </si>
  <si>
    <t xml:space="preserve">Bình luận rỗng / chỉ khoảng trắng</t>
  </si>
  <si>
    <t xml:space="preserve">Gửi nội dung rỗng</t>
  </si>
  <si>
    <t xml:space="preserve">'   '</t>
  </si>
  <si>
    <t xml:space="preserve">Bị từ chối</t>
  </si>
  <si>
    <t xml:space="preserve">Không tạo bình luận; không có thông báo lỗi (chỉ kiểm tra danh sách không đổi).</t>
  </si>
  <si>
    <t xml:space="preserve">TC032</t>
  </si>
  <si>
    <t xml:space="preserve">F16</t>
  </si>
  <si>
    <t xml:space="preserve">Sửa / xóa bình luận</t>
  </si>
  <si>
    <t xml:space="preserve">Sửa bình luận của mình</t>
  </si>
  <si>
    <t xml:space="preserve">Có bình luận</t>
  </si>
  <si>
    <t xml:space="preserve">Sửa nội dung, lưu</t>
  </si>
  <si>
    <t xml:space="preserve">Nội dung cập nhật, hiện dấu 'đã sửa' (edited_at)</t>
  </si>
  <si>
    <t xml:space="preserve">Sửa bình luận của mình: nội dung cập nhật, hiện dấu đã sửa.</t>
  </si>
  <si>
    <t xml:space="preserve">TC033</t>
  </si>
  <si>
    <t xml:space="preserve">Xóa bình luận của mình</t>
  </si>
  <si>
    <t xml:space="preserve">Xóa</t>
  </si>
  <si>
    <t xml:space="preserve">Bình luận biến mất</t>
  </si>
  <si>
    <t xml:space="preserve">Xóa bình luận của mình: bình luận biến mất.</t>
  </si>
  <si>
    <t xml:space="preserve">TC034</t>
  </si>
  <si>
    <t xml:space="preserve">Sửa/xóa bình luận của người khác (IDOR)</t>
  </si>
  <si>
    <t xml:space="preserve">2 tài khoản A, B</t>
  </si>
  <si>
    <t xml:space="preserve">Đăng nhập B, gửi POST edit/delete với comment_id của A</t>
  </si>
  <si>
    <t xml:space="preserve">comment_id của A</t>
  </si>
  <si>
    <t xml:space="preserve">Bị từ chối, bình luận của A không đổi</t>
  </si>
  <si>
    <t xml:space="preserve">TC035</t>
  </si>
  <si>
    <t xml:space="preserve">F17</t>
  </si>
  <si>
    <t xml:space="preserve">Thả tim ảnh Gallery</t>
  </si>
  <si>
    <t xml:space="preserve">Bấm tim một ảnh, bấm lại</t>
  </si>
  <si>
    <t xml:space="preserve">Bật/tắt đúng, số lượng cập nhật, không tăng ảo</t>
  </si>
  <si>
    <t xml:space="preserve">Test từng loại: bật/tắt, đổi loại không cộng thêm; lần thả đầu được +2 gems (tối đa 10 lần/ngày).</t>
  </si>
  <si>
    <t xml:space="preserve">Thả tim và bấm lại: bật/tắt đúng, số lượng không cộng dồn. Ghi chú: mỗi lần thả cảm xúc, thứ tự các ảnh trong Gallery thay đổi ngẫu nhiên (chưa rõ có phải lỗi hiển thị hay không).</t>
  </si>
  <si>
    <t xml:space="preserve">TC036</t>
  </si>
  <si>
    <t xml:space="preserve">F18</t>
  </si>
  <si>
    <t xml:space="preserve">M5 – Ideas</t>
  </si>
  <si>
    <t xml:space="preserve">Gửi Idea</t>
  </si>
  <si>
    <t xml:space="preserve">Gửi idea hợp lệ</t>
  </si>
  <si>
    <t xml:space="preserve">Điền form, gửi</t>
  </si>
  <si>
    <t xml:space="preserve">tiêu đề + mô tả</t>
  </si>
  <si>
    <t xml:space="preserve">Idea mới trạng thái open, xuất hiện trong danh sách; nhận gem nhiệm vụ</t>
  </si>
  <si>
    <t xml:space="preserve">Gửi idea hợp lệ: idea mới xuất hiện trong danh sách ở trạng thái Open.</t>
  </si>
  <si>
    <t xml:space="preserve">TC037</t>
  </si>
  <si>
    <t xml:space="preserve">Gửi idea thiếu trường bắt buộc</t>
  </si>
  <si>
    <t xml:space="preserve">Để trống tiêu đề/mô tả</t>
  </si>
  <si>
    <t xml:space="preserve">(trống)</t>
  </si>
  <si>
    <t xml:space="preserve">Báo lỗi, không lưu</t>
  </si>
  <si>
    <t xml:space="preserve">Gỡ required bằng DevTools; mong đợi thông báo trên.</t>
  </si>
  <si>
    <t xml:space="preserve">Để trống trường bắt buộc rồi gửi: trình duyệt chặn và hiện "Vui lòng điền vào ô này". Đây là kiểm tra phía trình duyệt (required); chưa gỡ required để kiểm tra phía server.</t>
  </si>
  <si>
    <t xml:space="preserve">TC038</t>
  </si>
  <si>
    <t xml:space="preserve">F19</t>
  </si>
  <si>
    <t xml:space="preserve">Sửa Idea</t>
  </si>
  <si>
    <t xml:space="preserve">Sửa idea của mình</t>
  </si>
  <si>
    <t xml:space="preserve">Có idea</t>
  </si>
  <si>
    <t xml:space="preserve">Sửa tiêu đề, lưu</t>
  </si>
  <si>
    <t xml:space="preserve">Nội dung cập nhật</t>
  </si>
  <si>
    <t xml:space="preserve">Sửa tiêu đề idea của mình, lưu: nội dung cập nhật.</t>
  </si>
  <si>
    <t xml:space="preserve">TC039</t>
  </si>
  <si>
    <t xml:space="preserve">Sửa idea của người khác</t>
  </si>
  <si>
    <t xml:space="preserve">2 tài khoản</t>
  </si>
  <si>
    <t xml:space="preserve">Mở edit_idea.php?id=&lt;idea của người khác&gt;</t>
  </si>
  <si>
    <t xml:space="preserve">id của người khác</t>
  </si>
  <si>
    <t xml:space="preserve">Chuyển về ideas.php?error=forbidden: "You can only edit or delete your own open ideas."; idea của người kia không đổi.</t>
  </si>
  <si>
    <t xml:space="preserve">TC040</t>
  </si>
  <si>
    <t xml:space="preserve">F20</t>
  </si>
  <si>
    <t xml:space="preserve">Xóa Idea</t>
  </si>
  <si>
    <t xml:space="preserve">Xóa idea của mình</t>
  </si>
  <si>
    <t xml:space="preserve">Xóa, xác nhận</t>
  </si>
  <si>
    <t xml:space="preserve">Idea biến mất</t>
  </si>
  <si>
    <t xml:space="preserve">Xóa idea của mình, xác nhận: idea biến mất.</t>
  </si>
  <si>
    <t xml:space="preserve">TC041</t>
  </si>
  <si>
    <t xml:space="preserve">Xóa idea của người khác</t>
  </si>
  <si>
    <t xml:space="preserve">POST delete_idea_id của người khác</t>
  </si>
  <si>
    <t xml:space="preserve">TC042</t>
  </si>
  <si>
    <t xml:space="preserve">F21</t>
  </si>
  <si>
    <t xml:space="preserve">Upvote Idea</t>
  </si>
  <si>
    <t xml:space="preserve">Upvote idea lần đầu</t>
  </si>
  <si>
    <t xml:space="preserve">Bấm upvote</t>
  </si>
  <si>
    <t xml:space="preserve">Số upvote +1</t>
  </si>
  <si>
    <t xml:space="preserve">Upvote idea lần đầu: số upvote tăng 1.</t>
  </si>
  <si>
    <t xml:space="preserve">TC043</t>
  </si>
  <si>
    <t xml:space="preserve">Upvote cùng idea hai lần / bấm nhanh</t>
  </si>
  <si>
    <t xml:space="preserve">Đã upvote</t>
  </si>
  <si>
    <t xml:space="preserve">Bấm lại và bấm đúp nhanh</t>
  </si>
  <si>
    <t xml:space="preserve">Không tăng quá 1 lượt/người; không nhận gem trùng</t>
  </si>
  <si>
    <t xml:space="preserve">Không tăng quá 1 lượt, không nhận gem trùng. Nếu bấm đúp ra trang lỗi PHP/SQL thì ghi Bug Log.</t>
  </si>
  <si>
    <t xml:space="preserve">Upvote lần 2 vào cùng idea: số upvote không tăng.</t>
  </si>
  <si>
    <t xml:space="preserve">TC044</t>
  </si>
  <si>
    <t xml:space="preserve">F22</t>
  </si>
  <si>
    <t xml:space="preserve">Quy trình trạng thái Idea</t>
  </si>
  <si>
    <t xml:space="preserve">Chuyển open → in_progress → completed</t>
  </si>
  <si>
    <t xml:space="preserve">Đặt in_progress, rồi completed, chọn bot và chế độ hiển thị</t>
  </si>
  <si>
    <t xml:space="preserve">bot_visibility published/unlisted</t>
  </si>
  <si>
    <t xml:space="preserve">Trạng thái đổi đúng, completed_at được ghi</t>
  </si>
  <si>
    <t xml:space="preserve">Published không chọn bot vẫn hoàn thành; Unlisted bắt buộc có link. completed_at được ghi.</t>
  </si>
  <si>
    <t xml:space="preserve">Đăng nhập admin, mở Ideas, bấm Start work trên idea đang Open: không có thay đổi nào. Idea không chuyển sang In Progress và không xuất hiện bước Complete, nên không thể kiểm tra việc ghi completed_at. (Chức năng tương tự ở Commission hoạt động bình thường.)</t>
  </si>
  <si>
    <t xml:space="preserve">TC044_fail.png</t>
  </si>
  <si>
    <t xml:space="preserve">TC045</t>
  </si>
  <si>
    <t xml:space="preserve">User thường đổi trạng thái idea</t>
  </si>
  <si>
    <t xml:space="preserve">POST idea_complete</t>
  </si>
  <si>
    <t xml:space="preserve">TC046</t>
  </si>
  <si>
    <t xml:space="preserve">Link unlisted không hợp lệ</t>
  </si>
  <si>
    <t xml:space="preserve">Nhập unlisted_link 'javascript:alert(1)'</t>
  </si>
  <si>
    <t xml:space="preserve">javascript:</t>
  </si>
  <si>
    <t xml:space="preserve">Bị từ chối (chỉ nhận http/https)</t>
  </si>
  <si>
    <t xml:space="preserve">Gửi POST trực tiếp với "javascript:alert(1)": thực tế được lưu. Rủi ro thấp (chỉ admin nhập) nhưng thiếu kiểm tra phía server; ghi Bug Log (Low) nếu xác nhận.</t>
  </si>
  <si>
    <t xml:space="preserve">TC047</t>
  </si>
  <si>
    <t xml:space="preserve">F23</t>
  </si>
  <si>
    <t xml:space="preserve">Danh sách Ideas</t>
  </si>
  <si>
    <t xml:space="preserve">Hiển thị thông báo msg / error</t>
  </si>
  <si>
    <t xml:space="preserve">Mở ideas.php?msg=&lt;script&gt;alert(1)&lt;/script&gt;</t>
  </si>
  <si>
    <t xml:space="preserve">tham số msg</t>
  </si>
  <si>
    <t xml:space="preserve">Được escape, không chạy script</t>
  </si>
  <si>
    <t xml:space="preserve">Giá trị lạ không hiển thị gì; không có script chạy.</t>
  </si>
  <si>
    <t xml:space="preserve">TC048</t>
  </si>
  <si>
    <t xml:space="preserve">Danh sách ideas theo thứ tự/ lọc</t>
  </si>
  <si>
    <t xml:space="preserve">Xem và lọc theo trạng thái</t>
  </si>
  <si>
    <t xml:space="preserve">Đúng bộ lọc và thứ tự</t>
  </si>
  <si>
    <t xml:space="preserve">ideas.php không có tham số lọc phía server. → Đổi thành: kiểm tra các nhóm trạng thái và thứ tự (Completed theo completed_at mới nhất). Nếu giao diện có tab lọc thì test thủ công.</t>
  </si>
  <si>
    <t xml:space="preserve">TC097</t>
  </si>
  <si>
    <t xml:space="preserve">F49</t>
  </si>
  <si>
    <t xml:space="preserve">M11 – Phi chức năng</t>
  </si>
  <si>
    <t xml:space="preserve">Bộ lọc nội dung cấm</t>
  </si>
  <si>
    <t xml:space="preserve">Biến thể tag cấm</t>
  </si>
  <si>
    <t xml:space="preserve">Admin</t>
  </si>
  <si>
    <t xml:space="preserve">Nhập 'Net-ori', 'NETORI', 'n.t.r', ' ntr '</t>
  </si>
  <si>
    <t xml:space="preserve">các biến thể</t>
  </si>
  <si>
    <t xml:space="preserve">Bị chặn theo chuẩn hóa; ghi nhận biến thể lọt qua</t>
  </si>
  <si>
    <r>
      <rPr>
        <sz val="10"/>
        <rFont val="Arial"/>
        <family val="0"/>
        <charset val="1"/>
      </rPr>
      <t xml:space="preserve">"Net-ori", "NETORI", "n.t.r", " ntr " đều bị chặn. Thử thêm "ntr2", "n3tori", "netori-fic", "</t>
    </r>
    <r>
      <rPr>
        <sz val="10"/>
        <rFont val="Noto Sans CJK SC"/>
        <family val="2"/>
      </rPr>
      <t xml:space="preserve">ｎｔｒ</t>
    </r>
    <r>
      <rPr>
        <sz val="10"/>
        <rFont val="Arial"/>
        <family val="0"/>
        <charset val="1"/>
      </rPr>
      <t xml:space="preserve">" (full-width): chuỗi sau chuẩn hóa không trùng danh sách nên có thể lọt qua; ghi nhận biến thể lọt vào Ghi chú/Bug Log. Bộ lọc chỉ áp dụng cho theme (admin_bots, index).</t>
    </r>
  </si>
  <si>
    <t xml:space="preserve">Tổng hợp thực thi – Nhóm 1 (tự cập nhật)</t>
  </si>
  <si>
    <t xml:space="preserve">Chỉ chép số vào báo cáo, không gõ đè. Cách tính giống sheet Test Summary trong Checklist_TestCase.xlsx (Đã thực thi = Tổng − Not Run).</t>
  </si>
  <si>
    <t xml:space="preserve">Tổng số TC</t>
  </si>
  <si>
    <t xml:space="preserve">Đã thực thi</t>
  </si>
  <si>
    <t xml:space="preserve">Blocked</t>
  </si>
  <si>
    <t xml:space="preserve">N/A</t>
  </si>
  <si>
    <t xml:space="preserve">Tỷ lệ thực thi</t>
  </si>
  <si>
    <t xml:space="preserve">Tỷ lệ Pass (trên số đã chạy)</t>
  </si>
  <si>
    <t xml:space="preserve">Tỷ lệ Fail (trên số đã chạy)</t>
  </si>
  <si>
    <t xml:space="preserve">Theo mức ưu tiên</t>
  </si>
  <si>
    <t xml:space="preserve">Tổng</t>
  </si>
  <si>
    <t xml:space="preserve">Đã chạy</t>
  </si>
  <si>
    <t xml:space="preserve">Theo module</t>
  </si>
</sst>
</file>

<file path=xl/styles.xml><?xml version="1.0" encoding="utf-8"?>
<styleSheet xmlns="http://schemas.openxmlformats.org/spreadsheetml/2006/main">
  <numFmts count="5">
    <numFmt numFmtId="164" formatCode="General"/>
    <numFmt numFmtId="165" formatCode="dd/mm/yyyy"/>
    <numFmt numFmtId="166" formatCode="m/d/yyyy"/>
    <numFmt numFmtId="167" formatCode="General"/>
    <numFmt numFmtId="168" formatCode="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name val="Arial"/>
      <family val="0"/>
      <charset val="1"/>
    </font>
    <font>
      <i val="true"/>
      <sz val="10"/>
      <name val="Arial"/>
      <family val="0"/>
      <charset val="1"/>
    </font>
    <font>
      <b val="true"/>
      <sz val="10"/>
      <color rgb="FF1F3864"/>
      <name val="Arial"/>
      <family val="0"/>
      <charset val="1"/>
    </font>
    <font>
      <b val="true"/>
      <sz val="10"/>
      <color rgb="FFFFFFFF"/>
      <name val="Arial"/>
      <family val="0"/>
      <charset val="1"/>
    </font>
    <font>
      <sz val="10"/>
      <name val="Noto Sans CJK SC"/>
      <family val="2"/>
    </font>
  </fonts>
  <fills count="5">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5" fontId="6" fillId="2" borderId="1" xfId="0" applyFont="true" applyBorder="true" applyAlignment="true" applyProtection="false">
      <alignment horizontal="center" vertical="top" textRotation="0" wrapText="true" indent="0" shrinkToFit="false"/>
      <protection locked="true" hidden="false"/>
    </xf>
    <xf numFmtId="166" fontId="6" fillId="2" borderId="1" xfId="0" applyFont="true" applyBorder="true" applyAlignment="true" applyProtection="false">
      <alignment horizontal="center"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25" activeCellId="0" sqref="E25"/>
    </sheetView>
  </sheetViews>
  <sheetFormatPr defaultColWidth="8.71484375" defaultRowHeight="15" zeroHeight="false" outlineLevelRow="0" outlineLevelCol="0"/>
  <cols>
    <col collapsed="false" customWidth="true" hidden="false" outlineLevel="0" max="1" min="1" style="1" width="26"/>
    <col collapsed="false" customWidth="true" hidden="false" outlineLevel="0" max="2" min="2" style="1" width="90"/>
  </cols>
  <sheetData>
    <row r="1" customFormat="false" ht="18" hidden="false" customHeight="true" outlineLevel="0" collapsed="false">
      <c r="A1" s="2" t="s">
        <v>0</v>
      </c>
    </row>
    <row r="3" customFormat="false" ht="27.75" hidden="false" customHeight="true" outlineLevel="0" collapsed="false">
      <c r="A3" s="3" t="s">
        <v>1</v>
      </c>
      <c r="B3" s="4" t="s">
        <v>2</v>
      </c>
    </row>
    <row r="4" customFormat="false" ht="18" hidden="false" customHeight="true" outlineLevel="0" collapsed="false">
      <c r="A4" s="3" t="s">
        <v>3</v>
      </c>
      <c r="B4" s="4" t="s">
        <v>4</v>
      </c>
    </row>
    <row r="5" customFormat="false" ht="42" hidden="false" customHeight="true" outlineLevel="0" collapsed="false">
      <c r="A5" s="3" t="s">
        <v>5</v>
      </c>
      <c r="B5" s="4" t="s">
        <v>6</v>
      </c>
    </row>
    <row r="6" customFormat="false" ht="27.75" hidden="false" customHeight="true" outlineLevel="0" collapsed="false">
      <c r="A6" s="3" t="s">
        <v>7</v>
      </c>
      <c r="B6" s="4" t="s">
        <v>8</v>
      </c>
    </row>
    <row r="7" customFormat="false" ht="27.75" hidden="false" customHeight="true" outlineLevel="0" collapsed="false">
      <c r="A7" s="3" t="s">
        <v>9</v>
      </c>
      <c r="B7" s="4" t="s">
        <v>10</v>
      </c>
    </row>
    <row r="8" customFormat="false" ht="18" hidden="false" customHeight="true" outlineLevel="0" collapsed="false">
      <c r="A8" s="3" t="s">
        <v>11</v>
      </c>
      <c r="B8" s="4" t="s">
        <v>12</v>
      </c>
    </row>
    <row r="9" customFormat="false" ht="18" hidden="false" customHeight="true" outlineLevel="0" collapsed="false">
      <c r="A9" s="3" t="s">
        <v>13</v>
      </c>
      <c r="B9" s="4" t="s">
        <v>14</v>
      </c>
    </row>
    <row r="10" customFormat="false" ht="27.75" hidden="false" customHeight="true" outlineLevel="0" collapsed="false">
      <c r="A10" s="3" t="s">
        <v>15</v>
      </c>
      <c r="B10" s="4" t="s">
        <v>16</v>
      </c>
    </row>
    <row r="12" customFormat="false" ht="15" hidden="false" customHeight="true" outlineLevel="0" collapsed="false">
      <c r="A12" s="5" t="s">
        <v>17</v>
      </c>
      <c r="B12" s="5"/>
    </row>
    <row r="13" customFormat="false" ht="15" hidden="false" customHeight="true" outlineLevel="0" collapsed="false">
      <c r="A13" s="6" t="s">
        <v>18</v>
      </c>
      <c r="B13" s="7" t="s">
        <v>19</v>
      </c>
    </row>
    <row r="14" customFormat="false" ht="15" hidden="false" customHeight="true" outlineLevel="0" collapsed="false">
      <c r="A14" s="6" t="s">
        <v>20</v>
      </c>
      <c r="B14" s="7" t="s">
        <v>21</v>
      </c>
    </row>
    <row r="15" customFormat="false" ht="15" hidden="false" customHeight="true" outlineLevel="0" collapsed="false">
      <c r="A15" s="6" t="s">
        <v>7</v>
      </c>
      <c r="B15" s="7" t="s">
        <v>22</v>
      </c>
    </row>
    <row r="16" customFormat="false" ht="15" hidden="false" customHeight="true" outlineLevel="0" collapsed="false">
      <c r="A16" s="6" t="s">
        <v>23</v>
      </c>
      <c r="B16" s="7" t="s">
        <v>24</v>
      </c>
    </row>
    <row r="17" customFormat="false" ht="15" hidden="false" customHeight="true" outlineLevel="0" collapsed="false">
      <c r="A17" s="6" t="s">
        <v>25</v>
      </c>
      <c r="B17" s="7" t="s">
        <v>26</v>
      </c>
    </row>
    <row r="18" customFormat="false" ht="15" hidden="false" customHeight="true" outlineLevel="0" collapsed="false">
      <c r="A18" s="6" t="s">
        <v>27</v>
      </c>
      <c r="B18" s="7" t="s">
        <v>28</v>
      </c>
    </row>
    <row r="20" customFormat="false" ht="15" hidden="false" customHeight="true" outlineLevel="0" collapsed="false">
      <c r="A20" s="8" t="s">
        <v>29</v>
      </c>
      <c r="B20" s="8"/>
    </row>
    <row r="21" customFormat="false" ht="15" hidden="false" customHeight="true" outlineLevel="0" collapsed="false">
      <c r="A21" s="6" t="s">
        <v>30</v>
      </c>
      <c r="B21" s="9" t="s">
        <v>31</v>
      </c>
    </row>
    <row r="22" customFormat="false" ht="15" hidden="false" customHeight="true" outlineLevel="0" collapsed="false">
      <c r="A22" s="6" t="s">
        <v>32</v>
      </c>
      <c r="B22" s="9" t="s">
        <v>33</v>
      </c>
    </row>
    <row r="23" customFormat="false" ht="15" hidden="false" customHeight="true" outlineLevel="0" collapsed="false">
      <c r="A23" s="6" t="s">
        <v>34</v>
      </c>
      <c r="B23" s="7" t="s">
        <v>35</v>
      </c>
    </row>
    <row r="24" customFormat="false" ht="15" hidden="false" customHeight="true" outlineLevel="0" collapsed="false">
      <c r="A24" s="6" t="s">
        <v>36</v>
      </c>
      <c r="B24" s="7" t="s">
        <v>37</v>
      </c>
    </row>
    <row r="25" customFormat="false" ht="15" hidden="false" customHeight="true" outlineLevel="0" collapsed="false">
      <c r="A25" s="6" t="s">
        <v>38</v>
      </c>
      <c r="B25" s="7" t="s">
        <v>39</v>
      </c>
    </row>
    <row r="26" customFormat="false" ht="15" hidden="false" customHeight="true" outlineLevel="0" collapsed="false">
      <c r="A26" s="6" t="s">
        <v>40</v>
      </c>
      <c r="B26" s="7" t="s">
        <v>41</v>
      </c>
    </row>
    <row r="27" customFormat="false" ht="15" hidden="false" customHeight="true" outlineLevel="0" collapsed="false">
      <c r="A27" s="6" t="s">
        <v>42</v>
      </c>
      <c r="B27" s="7" t="s">
        <v>43</v>
      </c>
    </row>
    <row r="29" customFormat="false" ht="15" hidden="false" customHeight="true" outlineLevel="0" collapsed="false">
      <c r="A29" s="8" t="s">
        <v>44</v>
      </c>
      <c r="B29" s="8"/>
    </row>
    <row r="30" customFormat="false" ht="30" hidden="false" customHeight="true" outlineLevel="0" collapsed="false">
      <c r="A30" s="6" t="s">
        <v>19</v>
      </c>
      <c r="B30" s="9" t="s">
        <v>45</v>
      </c>
    </row>
    <row r="31" customFormat="false" ht="30" hidden="false" customHeight="true" outlineLevel="0" collapsed="false">
      <c r="A31" s="6" t="s">
        <v>46</v>
      </c>
      <c r="B31" s="9" t="s">
        <v>47</v>
      </c>
    </row>
    <row r="32" customFormat="false" ht="30" hidden="false" customHeight="true" outlineLevel="0" collapsed="false">
      <c r="A32" s="6" t="s">
        <v>48</v>
      </c>
      <c r="B32" s="9" t="s">
        <v>49</v>
      </c>
    </row>
    <row r="33" customFormat="false" ht="25.5" hidden="false" customHeight="true" outlineLevel="0" collapsed="false">
      <c r="A33" s="10" t="s">
        <v>50</v>
      </c>
      <c r="B33" s="4" t="s">
        <v>51</v>
      </c>
    </row>
  </sheetData>
  <mergeCells count="3">
    <mergeCell ref="A12:B12"/>
    <mergeCell ref="A20:B20"/>
    <mergeCell ref="A29:B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4" topLeftCell="K83" activePane="bottomRight" state="frozen"/>
      <selection pane="topLeft" activeCell="A1" activeCellId="0" sqref="A1"/>
      <selection pane="topRight" activeCell="K1" activeCellId="0" sqref="K1"/>
      <selection pane="bottomLeft" activeCell="A83" activeCellId="0" sqref="A83"/>
      <selection pane="bottomRight" activeCell="L91" activeCellId="0" sqref="L91"/>
    </sheetView>
  </sheetViews>
  <sheetFormatPr defaultColWidth="8.71484375" defaultRowHeight="15" zeroHeight="false" outlineLevelRow="0" outlineLevelCol="0"/>
  <cols>
    <col collapsed="false" customWidth="true" hidden="false" outlineLevel="0" max="1" min="1" style="1" width="8"/>
    <col collapsed="false" customWidth="true" hidden="false" outlineLevel="0" max="2" min="2" style="1" width="7"/>
    <col collapsed="false" customWidth="true" hidden="false" outlineLevel="0" max="3" min="3" style="1" width="16"/>
    <col collapsed="false" customWidth="true" hidden="false" outlineLevel="0" max="4" min="4" style="1" width="20"/>
    <col collapsed="false" customWidth="true" hidden="false" outlineLevel="0" max="5" min="5" style="1" width="30"/>
    <col collapsed="false" customWidth="true" hidden="false" outlineLevel="0" max="6" min="6" style="1" width="8"/>
    <col collapsed="false" customWidth="true" hidden="false" outlineLevel="0" max="7" min="7" style="1" width="22"/>
    <col collapsed="false" customWidth="true" hidden="false" outlineLevel="0" max="8" min="8" style="1" width="42"/>
    <col collapsed="false" customWidth="true" hidden="false" outlineLevel="0" max="9" min="9" style="1" width="26"/>
    <col collapsed="false" customWidth="true" hidden="false" outlineLevel="0" max="10" min="10" style="1" width="32"/>
    <col collapsed="false" customWidth="true" hidden="false" outlineLevel="0" max="11" min="11" style="1" width="9"/>
    <col collapsed="false" customWidth="true" hidden="false" outlineLevel="0" max="12" min="12" style="1" width="44"/>
    <col collapsed="false" customWidth="true" hidden="false" outlineLevel="0" max="13" min="13" style="1" width="32"/>
    <col collapsed="false" customWidth="true" hidden="false" outlineLevel="0" max="14" min="14" style="1" width="11"/>
    <col collapsed="false" customWidth="true" hidden="false" outlineLevel="0" max="15" min="15" style="1" width="10"/>
    <col collapsed="false" customWidth="true" hidden="false" outlineLevel="0" max="16" min="16" style="1" width="12"/>
    <col collapsed="false" customWidth="true" hidden="false" outlineLevel="0" max="17" min="17" style="1" width="20"/>
  </cols>
  <sheetData>
    <row r="1" customFormat="false" ht="18" hidden="false" customHeight="true" outlineLevel="0" collapsed="false">
      <c r="A1" s="2" t="s">
        <v>52</v>
      </c>
    </row>
    <row r="2" customFormat="false" ht="15" hidden="false" customHeight="true" outlineLevel="0" collapsed="false">
      <c r="A2" s="11" t="s">
        <v>53</v>
      </c>
      <c r="B2" s="11"/>
      <c r="C2" s="11"/>
      <c r="D2" s="11"/>
      <c r="E2" s="11"/>
      <c r="F2" s="11"/>
      <c r="G2" s="11"/>
      <c r="H2" s="11"/>
      <c r="I2" s="11"/>
      <c r="J2" s="11"/>
      <c r="K2" s="11"/>
      <c r="L2" s="11"/>
      <c r="M2" s="11"/>
      <c r="N2" s="11"/>
      <c r="O2" s="11"/>
      <c r="P2" s="11"/>
      <c r="Q2" s="11"/>
    </row>
    <row r="3" customFormat="false" ht="15" hidden="false" customHeight="true" outlineLevel="0" collapsed="false">
      <c r="A3" s="12" t="s">
        <v>54</v>
      </c>
      <c r="B3" s="12"/>
      <c r="C3" s="12"/>
      <c r="D3" s="12"/>
      <c r="E3" s="12"/>
      <c r="F3" s="12"/>
      <c r="G3" s="12"/>
      <c r="H3" s="12"/>
      <c r="I3" s="12"/>
      <c r="J3" s="12"/>
      <c r="K3" s="12"/>
      <c r="L3" s="12"/>
      <c r="M3" s="12"/>
      <c r="N3" s="12"/>
      <c r="O3" s="12"/>
      <c r="P3" s="12"/>
      <c r="Q3" s="12"/>
    </row>
    <row r="4" customFormat="false" ht="31.5" hidden="false" customHeight="true" outlineLevel="0" collapsed="false">
      <c r="A4" s="13" t="s">
        <v>18</v>
      </c>
      <c r="B4" s="13" t="s">
        <v>55</v>
      </c>
      <c r="C4" s="13" t="s">
        <v>56</v>
      </c>
      <c r="D4" s="13" t="s">
        <v>57</v>
      </c>
      <c r="E4" s="13" t="s">
        <v>58</v>
      </c>
      <c r="F4" s="13" t="s">
        <v>59</v>
      </c>
      <c r="G4" s="13" t="s">
        <v>60</v>
      </c>
      <c r="H4" s="13" t="s">
        <v>61</v>
      </c>
      <c r="I4" s="13" t="s">
        <v>62</v>
      </c>
      <c r="J4" s="13" t="s">
        <v>63</v>
      </c>
      <c r="K4" s="13" t="s">
        <v>64</v>
      </c>
      <c r="L4" s="13" t="s">
        <v>65</v>
      </c>
      <c r="M4" s="13" t="s">
        <v>20</v>
      </c>
      <c r="N4" s="13" t="s">
        <v>7</v>
      </c>
      <c r="O4" s="13" t="s">
        <v>23</v>
      </c>
      <c r="P4" s="13" t="s">
        <v>25</v>
      </c>
      <c r="Q4" s="13" t="s">
        <v>27</v>
      </c>
    </row>
    <row r="5" customFormat="false" ht="90.75" hidden="false" customHeight="true" outlineLevel="0" collapsed="false">
      <c r="A5" s="14" t="s">
        <v>19</v>
      </c>
      <c r="B5" s="14" t="s">
        <v>66</v>
      </c>
      <c r="C5" s="9" t="s">
        <v>67</v>
      </c>
      <c r="D5" s="9" t="s">
        <v>68</v>
      </c>
      <c r="E5" s="9" t="s">
        <v>69</v>
      </c>
      <c r="F5" s="14" t="s">
        <v>70</v>
      </c>
      <c r="G5" s="9" t="s">
        <v>71</v>
      </c>
      <c r="H5" s="9" t="s">
        <v>72</v>
      </c>
      <c r="I5" s="9" t="s">
        <v>73</v>
      </c>
      <c r="J5" s="9" t="s">
        <v>74</v>
      </c>
      <c r="K5" s="14" t="s">
        <v>75</v>
      </c>
      <c r="L5" s="15" t="s">
        <v>76</v>
      </c>
      <c r="M5" s="7" t="s">
        <v>77</v>
      </c>
      <c r="N5" s="16" t="s">
        <v>22</v>
      </c>
      <c r="O5" s="16"/>
      <c r="P5" s="17" t="n">
        <v>46307</v>
      </c>
      <c r="Q5" s="7" t="s">
        <v>28</v>
      </c>
    </row>
    <row r="6" customFormat="false" ht="55.5" hidden="false" customHeight="true" outlineLevel="0" collapsed="false">
      <c r="A6" s="14" t="s">
        <v>78</v>
      </c>
      <c r="B6" s="14" t="s">
        <v>66</v>
      </c>
      <c r="C6" s="9" t="s">
        <v>67</v>
      </c>
      <c r="D6" s="9" t="s">
        <v>68</v>
      </c>
      <c r="E6" s="9" t="s">
        <v>79</v>
      </c>
      <c r="F6" s="14" t="s">
        <v>70</v>
      </c>
      <c r="G6" s="9" t="s">
        <v>80</v>
      </c>
      <c r="H6" s="9" t="s">
        <v>81</v>
      </c>
      <c r="I6" s="9" t="s">
        <v>82</v>
      </c>
      <c r="J6" s="9" t="s">
        <v>83</v>
      </c>
      <c r="K6" s="14" t="s">
        <v>75</v>
      </c>
      <c r="L6" s="15" t="s">
        <v>84</v>
      </c>
      <c r="M6" s="7" t="s">
        <v>85</v>
      </c>
      <c r="N6" s="16" t="s">
        <v>22</v>
      </c>
      <c r="O6" s="16"/>
      <c r="P6" s="17" t="n">
        <v>46307</v>
      </c>
      <c r="Q6" s="7"/>
    </row>
    <row r="7" customFormat="false" ht="120.75" hidden="false" customHeight="true" outlineLevel="0" collapsed="false">
      <c r="A7" s="14" t="s">
        <v>86</v>
      </c>
      <c r="B7" s="14" t="s">
        <v>66</v>
      </c>
      <c r="C7" s="9" t="s">
        <v>67</v>
      </c>
      <c r="D7" s="9" t="s">
        <v>68</v>
      </c>
      <c r="E7" s="9" t="s">
        <v>87</v>
      </c>
      <c r="F7" s="14" t="s">
        <v>70</v>
      </c>
      <c r="G7" s="9"/>
      <c r="H7" s="9" t="s">
        <v>88</v>
      </c>
      <c r="I7" s="9" t="s">
        <v>89</v>
      </c>
      <c r="J7" s="9" t="s">
        <v>90</v>
      </c>
      <c r="K7" s="14"/>
      <c r="L7" s="9"/>
      <c r="M7" s="7" t="s">
        <v>91</v>
      </c>
      <c r="N7" s="16" t="s">
        <v>22</v>
      </c>
      <c r="O7" s="16"/>
      <c r="P7" s="17" t="n">
        <v>46307</v>
      </c>
      <c r="Q7" s="7"/>
    </row>
    <row r="8" customFormat="false" ht="42.75" hidden="false" customHeight="true" outlineLevel="0" collapsed="false">
      <c r="A8" s="14" t="s">
        <v>92</v>
      </c>
      <c r="B8" s="14" t="s">
        <v>93</v>
      </c>
      <c r="C8" s="9" t="s">
        <v>67</v>
      </c>
      <c r="D8" s="9" t="s">
        <v>94</v>
      </c>
      <c r="E8" s="9" t="s">
        <v>95</v>
      </c>
      <c r="F8" s="14" t="s">
        <v>70</v>
      </c>
      <c r="G8" s="9" t="s">
        <v>96</v>
      </c>
      <c r="H8" s="9" t="s">
        <v>97</v>
      </c>
      <c r="I8" s="9" t="s">
        <v>98</v>
      </c>
      <c r="J8" s="9" t="s">
        <v>99</v>
      </c>
      <c r="K8" s="14"/>
      <c r="L8" s="9"/>
      <c r="M8" s="7" t="s">
        <v>100</v>
      </c>
      <c r="N8" s="16" t="s">
        <v>22</v>
      </c>
      <c r="O8" s="16"/>
      <c r="P8" s="17" t="n">
        <v>46307</v>
      </c>
      <c r="Q8" s="7"/>
    </row>
    <row r="9" customFormat="false" ht="42.75" hidden="false" customHeight="true" outlineLevel="0" collapsed="false">
      <c r="A9" s="14" t="s">
        <v>101</v>
      </c>
      <c r="B9" s="14" t="s">
        <v>93</v>
      </c>
      <c r="C9" s="9" t="s">
        <v>67</v>
      </c>
      <c r="D9" s="9" t="s">
        <v>94</v>
      </c>
      <c r="E9" s="9" t="s">
        <v>102</v>
      </c>
      <c r="F9" s="14" t="s">
        <v>70</v>
      </c>
      <c r="G9" s="9" t="s">
        <v>96</v>
      </c>
      <c r="H9" s="9" t="s">
        <v>103</v>
      </c>
      <c r="I9" s="9" t="s">
        <v>104</v>
      </c>
      <c r="J9" s="9" t="s">
        <v>105</v>
      </c>
      <c r="K9" s="14" t="s">
        <v>106</v>
      </c>
      <c r="L9" s="15" t="s">
        <v>107</v>
      </c>
      <c r="M9" s="7" t="s">
        <v>108</v>
      </c>
      <c r="N9" s="16" t="s">
        <v>22</v>
      </c>
      <c r="O9" s="16"/>
      <c r="P9" s="17" t="n">
        <v>46307</v>
      </c>
      <c r="Q9" s="7"/>
    </row>
    <row r="10" customFormat="false" ht="64.5" hidden="false" customHeight="true" outlineLevel="0" collapsed="false">
      <c r="A10" s="14" t="s">
        <v>46</v>
      </c>
      <c r="B10" s="14" t="s">
        <v>109</v>
      </c>
      <c r="C10" s="9" t="s">
        <v>67</v>
      </c>
      <c r="D10" s="9" t="s">
        <v>110</v>
      </c>
      <c r="E10" s="9" t="s">
        <v>111</v>
      </c>
      <c r="F10" s="14" t="s">
        <v>70</v>
      </c>
      <c r="G10" s="9" t="s">
        <v>96</v>
      </c>
      <c r="H10" s="9" t="s">
        <v>112</v>
      </c>
      <c r="I10" s="9" t="s">
        <v>113</v>
      </c>
      <c r="J10" s="9" t="s">
        <v>114</v>
      </c>
      <c r="K10" s="14" t="s">
        <v>106</v>
      </c>
      <c r="L10" s="15" t="s">
        <v>115</v>
      </c>
      <c r="M10" s="7" t="s">
        <v>116</v>
      </c>
      <c r="N10" s="16" t="s">
        <v>22</v>
      </c>
      <c r="O10" s="16"/>
      <c r="P10" s="17" t="n">
        <v>46307</v>
      </c>
      <c r="Q10" s="7" t="s">
        <v>117</v>
      </c>
    </row>
    <row r="11" customFormat="false" ht="30" hidden="false" customHeight="true" outlineLevel="0" collapsed="false">
      <c r="A11" s="14" t="s">
        <v>118</v>
      </c>
      <c r="B11" s="14" t="s">
        <v>109</v>
      </c>
      <c r="C11" s="9" t="s">
        <v>67</v>
      </c>
      <c r="D11" s="9" t="s">
        <v>110</v>
      </c>
      <c r="E11" s="9" t="s">
        <v>119</v>
      </c>
      <c r="F11" s="14" t="s">
        <v>120</v>
      </c>
      <c r="G11" s="9" t="s">
        <v>121</v>
      </c>
      <c r="H11" s="9" t="s">
        <v>122</v>
      </c>
      <c r="I11" s="9"/>
      <c r="J11" s="9" t="s">
        <v>123</v>
      </c>
      <c r="K11" s="14"/>
      <c r="L11" s="9"/>
      <c r="M11" s="7" t="s">
        <v>124</v>
      </c>
      <c r="N11" s="16" t="s">
        <v>22</v>
      </c>
      <c r="O11" s="16"/>
      <c r="P11" s="17" t="n">
        <v>46307</v>
      </c>
      <c r="Q11" s="7"/>
    </row>
    <row r="12" customFormat="false" ht="81.75" hidden="false" customHeight="true" outlineLevel="0" collapsed="false">
      <c r="A12" s="14" t="s">
        <v>125</v>
      </c>
      <c r="B12" s="14" t="s">
        <v>126</v>
      </c>
      <c r="C12" s="9" t="s">
        <v>67</v>
      </c>
      <c r="D12" s="9" t="s">
        <v>127</v>
      </c>
      <c r="E12" s="9" t="s">
        <v>127</v>
      </c>
      <c r="F12" s="14" t="s">
        <v>70</v>
      </c>
      <c r="G12" s="9" t="s">
        <v>128</v>
      </c>
      <c r="H12" s="9" t="s">
        <v>129</v>
      </c>
      <c r="I12" s="9"/>
      <c r="J12" s="9" t="s">
        <v>130</v>
      </c>
      <c r="K12" s="14" t="s">
        <v>75</v>
      </c>
      <c r="L12" s="15" t="s">
        <v>131</v>
      </c>
      <c r="M12" s="7" t="s">
        <v>132</v>
      </c>
      <c r="N12" s="16" t="s">
        <v>22</v>
      </c>
      <c r="O12" s="16"/>
      <c r="P12" s="17" t="n">
        <v>46307</v>
      </c>
      <c r="Q12" s="7"/>
    </row>
    <row r="13" customFormat="false" ht="159.75" hidden="false" customHeight="true" outlineLevel="0" collapsed="false">
      <c r="A13" s="14" t="s">
        <v>133</v>
      </c>
      <c r="B13" s="14" t="s">
        <v>134</v>
      </c>
      <c r="C13" s="9" t="s">
        <v>67</v>
      </c>
      <c r="D13" s="9" t="s">
        <v>135</v>
      </c>
      <c r="E13" s="9" t="s">
        <v>136</v>
      </c>
      <c r="F13" s="14" t="s">
        <v>70</v>
      </c>
      <c r="G13" s="9" t="s">
        <v>137</v>
      </c>
      <c r="H13" s="9" t="s">
        <v>138</v>
      </c>
      <c r="I13" s="9" t="s">
        <v>139</v>
      </c>
      <c r="J13" s="9" t="s">
        <v>140</v>
      </c>
      <c r="K13" s="14"/>
      <c r="L13" s="9"/>
      <c r="M13" s="7" t="s">
        <v>141</v>
      </c>
      <c r="N13" s="16" t="s">
        <v>22</v>
      </c>
      <c r="O13" s="16"/>
      <c r="P13" s="17" t="n">
        <v>46307</v>
      </c>
      <c r="Q13" s="7"/>
    </row>
    <row r="14" customFormat="false" ht="69" hidden="false" customHeight="true" outlineLevel="0" collapsed="false">
      <c r="A14" s="14" t="s">
        <v>142</v>
      </c>
      <c r="B14" s="14" t="s">
        <v>134</v>
      </c>
      <c r="C14" s="9" t="s">
        <v>67</v>
      </c>
      <c r="D14" s="9" t="s">
        <v>135</v>
      </c>
      <c r="E14" s="9" t="s">
        <v>143</v>
      </c>
      <c r="F14" s="14" t="s">
        <v>144</v>
      </c>
      <c r="G14" s="9"/>
      <c r="H14" s="9" t="s">
        <v>145</v>
      </c>
      <c r="I14" s="9" t="s">
        <v>146</v>
      </c>
      <c r="J14" s="9" t="s">
        <v>147</v>
      </c>
      <c r="K14" s="14" t="s">
        <v>106</v>
      </c>
      <c r="L14" s="15" t="s">
        <v>148</v>
      </c>
      <c r="M14" s="7" t="s">
        <v>149</v>
      </c>
      <c r="N14" s="16" t="s">
        <v>22</v>
      </c>
      <c r="O14" s="16"/>
      <c r="P14" s="17" t="n">
        <v>46307</v>
      </c>
      <c r="Q14" s="7"/>
    </row>
    <row r="15" customFormat="false" ht="55.5" hidden="false" customHeight="true" outlineLevel="0" collapsed="false">
      <c r="A15" s="14" t="s">
        <v>150</v>
      </c>
      <c r="B15" s="14" t="s">
        <v>151</v>
      </c>
      <c r="C15" s="9" t="s">
        <v>67</v>
      </c>
      <c r="D15" s="9" t="s">
        <v>152</v>
      </c>
      <c r="E15" s="9" t="s">
        <v>153</v>
      </c>
      <c r="F15" s="14" t="s">
        <v>70</v>
      </c>
      <c r="G15" s="9" t="s">
        <v>154</v>
      </c>
      <c r="H15" s="9" t="s">
        <v>155</v>
      </c>
      <c r="I15" s="9" t="s">
        <v>156</v>
      </c>
      <c r="J15" s="9" t="s">
        <v>157</v>
      </c>
      <c r="K15" s="14"/>
      <c r="L15" s="9"/>
      <c r="M15" s="7" t="s">
        <v>158</v>
      </c>
      <c r="N15" s="16" t="s">
        <v>22</v>
      </c>
      <c r="O15" s="16"/>
      <c r="P15" s="17" t="n">
        <v>46307</v>
      </c>
      <c r="Q15" s="7"/>
    </row>
    <row r="16" customFormat="false" ht="42.75" hidden="false" customHeight="true" outlineLevel="0" collapsed="false">
      <c r="A16" s="14" t="s">
        <v>159</v>
      </c>
      <c r="B16" s="14" t="s">
        <v>151</v>
      </c>
      <c r="C16" s="9" t="s">
        <v>67</v>
      </c>
      <c r="D16" s="9" t="s">
        <v>152</v>
      </c>
      <c r="E16" s="9" t="s">
        <v>160</v>
      </c>
      <c r="F16" s="14" t="s">
        <v>70</v>
      </c>
      <c r="G16" s="9" t="s">
        <v>161</v>
      </c>
      <c r="H16" s="9" t="s">
        <v>162</v>
      </c>
      <c r="I16" s="9"/>
      <c r="J16" s="9" t="s">
        <v>163</v>
      </c>
      <c r="K16" s="14" t="s">
        <v>106</v>
      </c>
      <c r="L16" s="15" t="s">
        <v>164</v>
      </c>
      <c r="M16" s="7" t="s">
        <v>165</v>
      </c>
      <c r="N16" s="16" t="s">
        <v>22</v>
      </c>
      <c r="O16" s="16"/>
      <c r="P16" s="17" t="n">
        <v>46307</v>
      </c>
      <c r="Q16" s="7"/>
    </row>
    <row r="17" customFormat="false" ht="108" hidden="false" customHeight="true" outlineLevel="0" collapsed="false">
      <c r="A17" s="14" t="s">
        <v>166</v>
      </c>
      <c r="B17" s="14" t="s">
        <v>167</v>
      </c>
      <c r="C17" s="9" t="s">
        <v>168</v>
      </c>
      <c r="D17" s="9" t="s">
        <v>169</v>
      </c>
      <c r="E17" s="9" t="s">
        <v>170</v>
      </c>
      <c r="F17" s="14" t="s">
        <v>70</v>
      </c>
      <c r="G17" s="9" t="s">
        <v>71</v>
      </c>
      <c r="H17" s="9" t="s">
        <v>171</v>
      </c>
      <c r="I17" s="9" t="s">
        <v>172</v>
      </c>
      <c r="J17" s="9" t="s">
        <v>173</v>
      </c>
      <c r="K17" s="14" t="s">
        <v>75</v>
      </c>
      <c r="L17" s="15" t="s">
        <v>174</v>
      </c>
      <c r="M17" s="7" t="s">
        <v>175</v>
      </c>
      <c r="N17" s="16" t="s">
        <v>22</v>
      </c>
      <c r="O17" s="16"/>
      <c r="P17" s="17" t="n">
        <v>46307</v>
      </c>
      <c r="Q17" s="7"/>
    </row>
    <row r="18" customFormat="false" ht="51.75" hidden="false" customHeight="true" outlineLevel="0" collapsed="false">
      <c r="A18" s="14" t="s">
        <v>176</v>
      </c>
      <c r="B18" s="14" t="s">
        <v>167</v>
      </c>
      <c r="C18" s="9" t="s">
        <v>168</v>
      </c>
      <c r="D18" s="9" t="s">
        <v>169</v>
      </c>
      <c r="E18" s="9" t="s">
        <v>177</v>
      </c>
      <c r="F18" s="14" t="s">
        <v>70</v>
      </c>
      <c r="G18" s="9" t="s">
        <v>71</v>
      </c>
      <c r="H18" s="9" t="s">
        <v>178</v>
      </c>
      <c r="I18" s="9" t="s">
        <v>172</v>
      </c>
      <c r="J18" s="9" t="s">
        <v>179</v>
      </c>
      <c r="K18" s="14" t="s">
        <v>75</v>
      </c>
      <c r="L18" s="15" t="s">
        <v>180</v>
      </c>
      <c r="M18" s="7"/>
      <c r="N18" s="16" t="s">
        <v>181</v>
      </c>
      <c r="O18" s="16"/>
      <c r="P18" s="18"/>
      <c r="Q18" s="7"/>
    </row>
    <row r="19" customFormat="false" ht="78" hidden="false" customHeight="true" outlineLevel="0" collapsed="false">
      <c r="A19" s="14" t="s">
        <v>48</v>
      </c>
      <c r="B19" s="14" t="s">
        <v>167</v>
      </c>
      <c r="C19" s="9" t="s">
        <v>168</v>
      </c>
      <c r="D19" s="9" t="s">
        <v>169</v>
      </c>
      <c r="E19" s="9" t="s">
        <v>182</v>
      </c>
      <c r="F19" s="14" t="s">
        <v>70</v>
      </c>
      <c r="G19" s="9" t="s">
        <v>183</v>
      </c>
      <c r="H19" s="9" t="s">
        <v>184</v>
      </c>
      <c r="I19" s="9" t="s">
        <v>172</v>
      </c>
      <c r="J19" s="9" t="s">
        <v>185</v>
      </c>
      <c r="K19" s="14" t="s">
        <v>186</v>
      </c>
      <c r="L19" s="15" t="s">
        <v>187</v>
      </c>
      <c r="M19" s="7" t="s">
        <v>188</v>
      </c>
      <c r="N19" s="16" t="s">
        <v>189</v>
      </c>
      <c r="O19" s="16" t="s">
        <v>190</v>
      </c>
      <c r="P19" s="17" t="n">
        <v>46307</v>
      </c>
      <c r="Q19" s="7" t="s">
        <v>191</v>
      </c>
    </row>
    <row r="20" customFormat="false" ht="30" hidden="false" customHeight="true" outlineLevel="0" collapsed="false">
      <c r="A20" s="14" t="s">
        <v>192</v>
      </c>
      <c r="B20" s="14" t="s">
        <v>167</v>
      </c>
      <c r="C20" s="9" t="s">
        <v>168</v>
      </c>
      <c r="D20" s="9" t="s">
        <v>169</v>
      </c>
      <c r="E20" s="9" t="s">
        <v>193</v>
      </c>
      <c r="F20" s="14" t="s">
        <v>70</v>
      </c>
      <c r="G20" s="9" t="s">
        <v>194</v>
      </c>
      <c r="H20" s="9" t="s">
        <v>195</v>
      </c>
      <c r="I20" s="9"/>
      <c r="J20" s="9" t="s">
        <v>196</v>
      </c>
      <c r="K20" s="14"/>
      <c r="L20" s="9"/>
      <c r="M20" s="7" t="s">
        <v>197</v>
      </c>
      <c r="N20" s="16" t="s">
        <v>22</v>
      </c>
      <c r="O20" s="16"/>
      <c r="P20" s="17" t="n">
        <v>46307</v>
      </c>
      <c r="Q20" s="7"/>
    </row>
    <row r="21" customFormat="false" ht="30" hidden="false" customHeight="true" outlineLevel="0" collapsed="false">
      <c r="A21" s="14" t="s">
        <v>198</v>
      </c>
      <c r="B21" s="14" t="s">
        <v>199</v>
      </c>
      <c r="C21" s="9" t="s">
        <v>200</v>
      </c>
      <c r="D21" s="9" t="s">
        <v>201</v>
      </c>
      <c r="E21" s="9" t="s">
        <v>202</v>
      </c>
      <c r="F21" s="14" t="s">
        <v>70</v>
      </c>
      <c r="G21" s="9"/>
      <c r="H21" s="9" t="s">
        <v>203</v>
      </c>
      <c r="I21" s="9"/>
      <c r="J21" s="9" t="s">
        <v>204</v>
      </c>
      <c r="K21" s="14" t="s">
        <v>106</v>
      </c>
      <c r="L21" s="15" t="s">
        <v>205</v>
      </c>
      <c r="M21" s="7"/>
      <c r="N21" s="16" t="s">
        <v>181</v>
      </c>
      <c r="O21" s="16"/>
      <c r="P21" s="18"/>
      <c r="Q21" s="7"/>
    </row>
    <row r="22" customFormat="false" ht="30" hidden="false" customHeight="true" outlineLevel="0" collapsed="false">
      <c r="A22" s="14" t="s">
        <v>206</v>
      </c>
      <c r="B22" s="14" t="s">
        <v>199</v>
      </c>
      <c r="C22" s="9" t="s">
        <v>200</v>
      </c>
      <c r="D22" s="9" t="s">
        <v>201</v>
      </c>
      <c r="E22" s="9" t="s">
        <v>207</v>
      </c>
      <c r="F22" s="14" t="s">
        <v>144</v>
      </c>
      <c r="G22" s="9"/>
      <c r="H22" s="9" t="s">
        <v>208</v>
      </c>
      <c r="I22" s="9"/>
      <c r="J22" s="9" t="s">
        <v>209</v>
      </c>
      <c r="K22" s="14" t="s">
        <v>106</v>
      </c>
      <c r="L22" s="15" t="s">
        <v>210</v>
      </c>
      <c r="M22" s="7" t="s">
        <v>211</v>
      </c>
      <c r="N22" s="16" t="s">
        <v>22</v>
      </c>
      <c r="O22" s="16"/>
      <c r="P22" s="17" t="n">
        <v>46307</v>
      </c>
      <c r="Q22" s="7"/>
    </row>
    <row r="23" customFormat="false" ht="69" hidden="false" customHeight="true" outlineLevel="0" collapsed="false">
      <c r="A23" s="14" t="s">
        <v>212</v>
      </c>
      <c r="B23" s="14" t="s">
        <v>213</v>
      </c>
      <c r="C23" s="9" t="s">
        <v>200</v>
      </c>
      <c r="D23" s="9" t="s">
        <v>214</v>
      </c>
      <c r="E23" s="9" t="s">
        <v>215</v>
      </c>
      <c r="F23" s="14" t="s">
        <v>144</v>
      </c>
      <c r="G23" s="9"/>
      <c r="H23" s="9" t="s">
        <v>216</v>
      </c>
      <c r="I23" s="9" t="s">
        <v>217</v>
      </c>
      <c r="J23" s="9" t="s">
        <v>218</v>
      </c>
      <c r="K23" s="14" t="s">
        <v>106</v>
      </c>
      <c r="L23" s="15" t="s">
        <v>219</v>
      </c>
      <c r="M23" s="7" t="s">
        <v>220</v>
      </c>
      <c r="N23" s="16" t="s">
        <v>22</v>
      </c>
      <c r="O23" s="16"/>
      <c r="P23" s="17" t="n">
        <v>46307</v>
      </c>
      <c r="Q23" s="7"/>
    </row>
    <row r="24" customFormat="false" ht="69" hidden="false" customHeight="true" outlineLevel="0" collapsed="false">
      <c r="A24" s="14" t="s">
        <v>221</v>
      </c>
      <c r="B24" s="14" t="s">
        <v>213</v>
      </c>
      <c r="C24" s="9" t="s">
        <v>200</v>
      </c>
      <c r="D24" s="9" t="s">
        <v>214</v>
      </c>
      <c r="E24" s="9" t="s">
        <v>222</v>
      </c>
      <c r="F24" s="14" t="s">
        <v>120</v>
      </c>
      <c r="G24" s="9"/>
      <c r="H24" s="9" t="s">
        <v>223</v>
      </c>
      <c r="I24" s="9" t="s">
        <v>224</v>
      </c>
      <c r="J24" s="9" t="s">
        <v>225</v>
      </c>
      <c r="K24" s="14" t="s">
        <v>106</v>
      </c>
      <c r="L24" s="15" t="s">
        <v>226</v>
      </c>
      <c r="M24" s="7" t="s">
        <v>227</v>
      </c>
      <c r="N24" s="16" t="s">
        <v>22</v>
      </c>
      <c r="O24" s="16"/>
      <c r="P24" s="17" t="n">
        <v>46307</v>
      </c>
      <c r="Q24" s="7"/>
    </row>
    <row r="25" customFormat="false" ht="30" hidden="false" customHeight="true" outlineLevel="0" collapsed="false">
      <c r="A25" s="14" t="s">
        <v>228</v>
      </c>
      <c r="B25" s="14" t="s">
        <v>229</v>
      </c>
      <c r="C25" s="9" t="s">
        <v>200</v>
      </c>
      <c r="D25" s="9" t="s">
        <v>230</v>
      </c>
      <c r="E25" s="9" t="s">
        <v>231</v>
      </c>
      <c r="F25" s="14" t="s">
        <v>120</v>
      </c>
      <c r="G25" s="9"/>
      <c r="H25" s="9" t="s">
        <v>232</v>
      </c>
      <c r="I25" s="9"/>
      <c r="J25" s="9" t="s">
        <v>233</v>
      </c>
      <c r="K25" s="14"/>
      <c r="L25" s="9"/>
      <c r="M25" s="7" t="s">
        <v>234</v>
      </c>
      <c r="N25" s="16" t="s">
        <v>22</v>
      </c>
      <c r="O25" s="16"/>
      <c r="P25" s="17" t="n">
        <v>46307</v>
      </c>
      <c r="Q25" s="7"/>
    </row>
    <row r="26" customFormat="false" ht="30" hidden="false" customHeight="true" outlineLevel="0" collapsed="false">
      <c r="A26" s="14" t="s">
        <v>235</v>
      </c>
      <c r="B26" s="14" t="s">
        <v>236</v>
      </c>
      <c r="C26" s="9" t="s">
        <v>237</v>
      </c>
      <c r="D26" s="9" t="s">
        <v>238</v>
      </c>
      <c r="E26" s="9" t="s">
        <v>239</v>
      </c>
      <c r="F26" s="14" t="s">
        <v>70</v>
      </c>
      <c r="G26" s="9"/>
      <c r="H26" s="9" t="s">
        <v>240</v>
      </c>
      <c r="I26" s="9"/>
      <c r="J26" s="9" t="s">
        <v>241</v>
      </c>
      <c r="K26" s="14"/>
      <c r="L26" s="9"/>
      <c r="M26" s="7" t="s">
        <v>242</v>
      </c>
      <c r="N26" s="16" t="s">
        <v>22</v>
      </c>
      <c r="O26" s="16"/>
      <c r="P26" s="17" t="n">
        <v>46307</v>
      </c>
      <c r="Q26" s="7"/>
    </row>
    <row r="27" customFormat="false" ht="55.5" hidden="false" customHeight="true" outlineLevel="0" collapsed="false">
      <c r="A27" s="14" t="s">
        <v>243</v>
      </c>
      <c r="B27" s="14" t="s">
        <v>236</v>
      </c>
      <c r="C27" s="9" t="s">
        <v>237</v>
      </c>
      <c r="D27" s="9" t="s">
        <v>238</v>
      </c>
      <c r="E27" s="9" t="s">
        <v>244</v>
      </c>
      <c r="F27" s="14" t="s">
        <v>144</v>
      </c>
      <c r="G27" s="9"/>
      <c r="H27" s="9" t="s">
        <v>245</v>
      </c>
      <c r="I27" s="9"/>
      <c r="J27" s="9" t="s">
        <v>246</v>
      </c>
      <c r="K27" s="14" t="s">
        <v>75</v>
      </c>
      <c r="L27" s="15" t="s">
        <v>247</v>
      </c>
      <c r="M27" s="7" t="s">
        <v>248</v>
      </c>
      <c r="N27" s="16" t="s">
        <v>22</v>
      </c>
      <c r="O27" s="16"/>
      <c r="P27" s="17" t="n">
        <v>46307</v>
      </c>
      <c r="Q27" s="7"/>
    </row>
    <row r="28" customFormat="false" ht="42.75" hidden="false" customHeight="true" outlineLevel="0" collapsed="false">
      <c r="A28" s="14" t="s">
        <v>249</v>
      </c>
      <c r="B28" s="14" t="s">
        <v>250</v>
      </c>
      <c r="C28" s="9" t="s">
        <v>237</v>
      </c>
      <c r="D28" s="9" t="s">
        <v>251</v>
      </c>
      <c r="E28" s="9" t="s">
        <v>252</v>
      </c>
      <c r="F28" s="14" t="s">
        <v>144</v>
      </c>
      <c r="G28" s="9"/>
      <c r="H28" s="9" t="s">
        <v>253</v>
      </c>
      <c r="I28" s="9" t="s">
        <v>254</v>
      </c>
      <c r="J28" s="9" t="s">
        <v>255</v>
      </c>
      <c r="K28" s="14" t="s">
        <v>75</v>
      </c>
      <c r="L28" s="15" t="s">
        <v>256</v>
      </c>
      <c r="M28" s="7" t="s">
        <v>257</v>
      </c>
      <c r="N28" s="16" t="s">
        <v>22</v>
      </c>
      <c r="O28" s="16"/>
      <c r="P28" s="17" t="n">
        <v>46307</v>
      </c>
      <c r="Q28" s="7"/>
    </row>
    <row r="29" customFormat="false" ht="42.75" hidden="false" customHeight="true" outlineLevel="0" collapsed="false">
      <c r="A29" s="14" t="s">
        <v>258</v>
      </c>
      <c r="B29" s="14" t="s">
        <v>250</v>
      </c>
      <c r="C29" s="9" t="s">
        <v>237</v>
      </c>
      <c r="D29" s="9" t="s">
        <v>251</v>
      </c>
      <c r="E29" s="9" t="s">
        <v>259</v>
      </c>
      <c r="F29" s="14" t="s">
        <v>144</v>
      </c>
      <c r="G29" s="9"/>
      <c r="H29" s="9" t="s">
        <v>260</v>
      </c>
      <c r="I29" s="9" t="s">
        <v>261</v>
      </c>
      <c r="J29" s="9" t="s">
        <v>262</v>
      </c>
      <c r="K29" s="14" t="s">
        <v>106</v>
      </c>
      <c r="L29" s="15" t="s">
        <v>263</v>
      </c>
      <c r="M29" s="7" t="s">
        <v>264</v>
      </c>
      <c r="N29" s="16" t="s">
        <v>22</v>
      </c>
      <c r="O29" s="16"/>
      <c r="P29" s="17" t="n">
        <v>46307</v>
      </c>
      <c r="Q29" s="7"/>
    </row>
    <row r="30" customFormat="false" ht="42.75" hidden="false" customHeight="true" outlineLevel="0" collapsed="false">
      <c r="A30" s="14" t="s">
        <v>265</v>
      </c>
      <c r="B30" s="14" t="s">
        <v>266</v>
      </c>
      <c r="C30" s="9" t="s">
        <v>237</v>
      </c>
      <c r="D30" s="9" t="s">
        <v>267</v>
      </c>
      <c r="E30" s="9" t="s">
        <v>268</v>
      </c>
      <c r="F30" s="14" t="s">
        <v>70</v>
      </c>
      <c r="G30" s="9"/>
      <c r="H30" s="9" t="s">
        <v>269</v>
      </c>
      <c r="I30" s="9"/>
      <c r="J30" s="9" t="s">
        <v>270</v>
      </c>
      <c r="K30" s="14"/>
      <c r="L30" s="9"/>
      <c r="M30" s="7" t="s">
        <v>271</v>
      </c>
      <c r="N30" s="16" t="s">
        <v>22</v>
      </c>
      <c r="O30" s="16"/>
      <c r="P30" s="17" t="n">
        <v>46307</v>
      </c>
      <c r="Q30" s="7"/>
    </row>
    <row r="31" customFormat="false" ht="55.5" hidden="false" customHeight="true" outlineLevel="0" collapsed="false">
      <c r="A31" s="14" t="s">
        <v>272</v>
      </c>
      <c r="B31" s="14" t="s">
        <v>266</v>
      </c>
      <c r="C31" s="9" t="s">
        <v>237</v>
      </c>
      <c r="D31" s="9" t="s">
        <v>267</v>
      </c>
      <c r="E31" s="9" t="s">
        <v>273</v>
      </c>
      <c r="F31" s="14" t="s">
        <v>70</v>
      </c>
      <c r="G31" s="9"/>
      <c r="H31" s="9" t="s">
        <v>274</v>
      </c>
      <c r="I31" s="9" t="s">
        <v>261</v>
      </c>
      <c r="J31" s="9" t="s">
        <v>275</v>
      </c>
      <c r="K31" s="14" t="s">
        <v>106</v>
      </c>
      <c r="L31" s="15" t="s">
        <v>276</v>
      </c>
      <c r="M31" s="7" t="s">
        <v>277</v>
      </c>
      <c r="N31" s="16" t="s">
        <v>22</v>
      </c>
      <c r="O31" s="16"/>
      <c r="P31" s="17" t="n">
        <v>46307</v>
      </c>
      <c r="Q31" s="7"/>
    </row>
    <row r="32" customFormat="false" ht="30" hidden="false" customHeight="true" outlineLevel="0" collapsed="false">
      <c r="A32" s="14" t="s">
        <v>278</v>
      </c>
      <c r="B32" s="14" t="s">
        <v>279</v>
      </c>
      <c r="C32" s="9" t="s">
        <v>237</v>
      </c>
      <c r="D32" s="9" t="s">
        <v>280</v>
      </c>
      <c r="E32" s="9" t="s">
        <v>281</v>
      </c>
      <c r="F32" s="14" t="s">
        <v>70</v>
      </c>
      <c r="G32" s="9" t="s">
        <v>183</v>
      </c>
      <c r="H32" s="9" t="s">
        <v>282</v>
      </c>
      <c r="I32" s="9" t="s">
        <v>283</v>
      </c>
      <c r="J32" s="9" t="s">
        <v>284</v>
      </c>
      <c r="K32" s="14"/>
      <c r="L32" s="9"/>
      <c r="M32" s="7" t="s">
        <v>285</v>
      </c>
      <c r="N32" s="16" t="s">
        <v>22</v>
      </c>
      <c r="O32" s="16"/>
      <c r="P32" s="17" t="n">
        <v>46307</v>
      </c>
      <c r="Q32" s="7"/>
    </row>
    <row r="33" customFormat="false" ht="51.75" hidden="false" customHeight="true" outlineLevel="0" collapsed="false">
      <c r="A33" s="14" t="s">
        <v>286</v>
      </c>
      <c r="B33" s="14" t="s">
        <v>279</v>
      </c>
      <c r="C33" s="9" t="s">
        <v>237</v>
      </c>
      <c r="D33" s="9" t="s">
        <v>280</v>
      </c>
      <c r="E33" s="9" t="s">
        <v>287</v>
      </c>
      <c r="F33" s="14" t="s">
        <v>70</v>
      </c>
      <c r="G33" s="9" t="s">
        <v>183</v>
      </c>
      <c r="H33" s="9" t="s">
        <v>288</v>
      </c>
      <c r="I33" s="9" t="s">
        <v>289</v>
      </c>
      <c r="J33" s="9" t="s">
        <v>290</v>
      </c>
      <c r="K33" s="14" t="s">
        <v>186</v>
      </c>
      <c r="L33" s="15" t="s">
        <v>291</v>
      </c>
      <c r="M33" s="7"/>
      <c r="N33" s="16" t="s">
        <v>181</v>
      </c>
      <c r="O33" s="16"/>
      <c r="P33" s="18"/>
      <c r="Q33" s="7"/>
    </row>
    <row r="34" customFormat="false" ht="42.75" hidden="false" customHeight="true" outlineLevel="0" collapsed="false">
      <c r="A34" s="14" t="s">
        <v>292</v>
      </c>
      <c r="B34" s="14" t="s">
        <v>293</v>
      </c>
      <c r="C34" s="9" t="s">
        <v>237</v>
      </c>
      <c r="D34" s="9" t="s">
        <v>294</v>
      </c>
      <c r="E34" s="9" t="s">
        <v>295</v>
      </c>
      <c r="F34" s="14" t="s">
        <v>70</v>
      </c>
      <c r="G34" s="9" t="s">
        <v>183</v>
      </c>
      <c r="H34" s="9" t="s">
        <v>296</v>
      </c>
      <c r="I34" s="9" t="s">
        <v>297</v>
      </c>
      <c r="J34" s="9" t="s">
        <v>298</v>
      </c>
      <c r="K34" s="14"/>
      <c r="L34" s="9"/>
      <c r="M34" s="7" t="s">
        <v>299</v>
      </c>
      <c r="N34" s="16" t="s">
        <v>22</v>
      </c>
      <c r="O34" s="16"/>
      <c r="P34" s="17" t="n">
        <v>46307</v>
      </c>
      <c r="Q34" s="7"/>
    </row>
    <row r="35" customFormat="false" ht="30" hidden="false" customHeight="true" outlineLevel="0" collapsed="false">
      <c r="A35" s="14" t="s">
        <v>300</v>
      </c>
      <c r="B35" s="14" t="s">
        <v>293</v>
      </c>
      <c r="C35" s="9" t="s">
        <v>237</v>
      </c>
      <c r="D35" s="9" t="s">
        <v>294</v>
      </c>
      <c r="E35" s="9" t="s">
        <v>301</v>
      </c>
      <c r="F35" s="14" t="s">
        <v>144</v>
      </c>
      <c r="G35" s="9" t="s">
        <v>183</v>
      </c>
      <c r="H35" s="9" t="s">
        <v>302</v>
      </c>
      <c r="I35" s="9" t="s">
        <v>303</v>
      </c>
      <c r="J35" s="9" t="s">
        <v>304</v>
      </c>
      <c r="K35" s="14" t="s">
        <v>106</v>
      </c>
      <c r="L35" s="15" t="s">
        <v>305</v>
      </c>
      <c r="M35" s="7"/>
      <c r="N35" s="16" t="s">
        <v>181</v>
      </c>
      <c r="O35" s="16"/>
      <c r="P35" s="18"/>
      <c r="Q35" s="7"/>
    </row>
    <row r="36" customFormat="false" ht="30" hidden="false" customHeight="true" outlineLevel="0" collapsed="false">
      <c r="A36" s="14" t="s">
        <v>306</v>
      </c>
      <c r="B36" s="14" t="s">
        <v>307</v>
      </c>
      <c r="C36" s="9" t="s">
        <v>237</v>
      </c>
      <c r="D36" s="9" t="s">
        <v>308</v>
      </c>
      <c r="E36" s="9" t="s">
        <v>309</v>
      </c>
      <c r="F36" s="14" t="s">
        <v>70</v>
      </c>
      <c r="G36" s="9" t="s">
        <v>310</v>
      </c>
      <c r="H36" s="9" t="s">
        <v>311</v>
      </c>
      <c r="I36" s="9"/>
      <c r="J36" s="9" t="s">
        <v>312</v>
      </c>
      <c r="K36" s="14"/>
      <c r="L36" s="9"/>
      <c r="M36" s="7" t="s">
        <v>313</v>
      </c>
      <c r="N36" s="16" t="s">
        <v>22</v>
      </c>
      <c r="O36" s="16"/>
      <c r="P36" s="17" t="n">
        <v>46307</v>
      </c>
      <c r="Q36" s="7"/>
    </row>
    <row r="37" customFormat="false" ht="30" hidden="false" customHeight="true" outlineLevel="0" collapsed="false">
      <c r="A37" s="14" t="s">
        <v>314</v>
      </c>
      <c r="B37" s="14" t="s">
        <v>307</v>
      </c>
      <c r="C37" s="9" t="s">
        <v>237</v>
      </c>
      <c r="D37" s="9" t="s">
        <v>308</v>
      </c>
      <c r="E37" s="9" t="s">
        <v>315</v>
      </c>
      <c r="F37" s="14" t="s">
        <v>70</v>
      </c>
      <c r="G37" s="9" t="s">
        <v>310</v>
      </c>
      <c r="H37" s="9" t="s">
        <v>316</v>
      </c>
      <c r="I37" s="9"/>
      <c r="J37" s="9" t="s">
        <v>317</v>
      </c>
      <c r="K37" s="14"/>
      <c r="L37" s="9"/>
      <c r="M37" s="7" t="s">
        <v>318</v>
      </c>
      <c r="N37" s="16" t="s">
        <v>22</v>
      </c>
      <c r="O37" s="16"/>
      <c r="P37" s="17" t="n">
        <v>46307</v>
      </c>
      <c r="Q37" s="7"/>
    </row>
    <row r="38" customFormat="false" ht="30" hidden="false" customHeight="true" outlineLevel="0" collapsed="false">
      <c r="A38" s="14" t="s">
        <v>319</v>
      </c>
      <c r="B38" s="14" t="s">
        <v>307</v>
      </c>
      <c r="C38" s="9" t="s">
        <v>237</v>
      </c>
      <c r="D38" s="9" t="s">
        <v>308</v>
      </c>
      <c r="E38" s="9" t="s">
        <v>320</v>
      </c>
      <c r="F38" s="14" t="s">
        <v>70</v>
      </c>
      <c r="G38" s="9" t="s">
        <v>321</v>
      </c>
      <c r="H38" s="9" t="s">
        <v>322</v>
      </c>
      <c r="I38" s="9" t="s">
        <v>323</v>
      </c>
      <c r="J38" s="9" t="s">
        <v>324</v>
      </c>
      <c r="K38" s="14"/>
      <c r="L38" s="9"/>
      <c r="M38" s="7"/>
      <c r="N38" s="16" t="s">
        <v>181</v>
      </c>
      <c r="O38" s="16"/>
      <c r="P38" s="18"/>
      <c r="Q38" s="7"/>
    </row>
    <row r="39" customFormat="false" ht="81.75" hidden="false" customHeight="true" outlineLevel="0" collapsed="false">
      <c r="A39" s="14" t="s">
        <v>325</v>
      </c>
      <c r="B39" s="14" t="s">
        <v>326</v>
      </c>
      <c r="C39" s="9" t="s">
        <v>237</v>
      </c>
      <c r="D39" s="9" t="s">
        <v>327</v>
      </c>
      <c r="E39" s="9" t="s">
        <v>327</v>
      </c>
      <c r="F39" s="14" t="s">
        <v>144</v>
      </c>
      <c r="G39" s="9" t="s">
        <v>183</v>
      </c>
      <c r="H39" s="9" t="s">
        <v>328</v>
      </c>
      <c r="I39" s="9"/>
      <c r="J39" s="9" t="s">
        <v>329</v>
      </c>
      <c r="K39" s="14" t="s">
        <v>106</v>
      </c>
      <c r="L39" s="15" t="s">
        <v>330</v>
      </c>
      <c r="M39" s="7" t="s">
        <v>331</v>
      </c>
      <c r="N39" s="16" t="s">
        <v>22</v>
      </c>
      <c r="O39" s="16"/>
      <c r="P39" s="17" t="n">
        <v>46307</v>
      </c>
      <c r="Q39" s="7"/>
    </row>
    <row r="40" customFormat="false" ht="42.75" hidden="false" customHeight="true" outlineLevel="0" collapsed="false">
      <c r="A40" s="14" t="s">
        <v>332</v>
      </c>
      <c r="B40" s="14" t="s">
        <v>333</v>
      </c>
      <c r="C40" s="9" t="s">
        <v>334</v>
      </c>
      <c r="D40" s="9" t="s">
        <v>335</v>
      </c>
      <c r="E40" s="9" t="s">
        <v>336</v>
      </c>
      <c r="F40" s="14" t="s">
        <v>70</v>
      </c>
      <c r="G40" s="9" t="s">
        <v>183</v>
      </c>
      <c r="H40" s="9" t="s">
        <v>337</v>
      </c>
      <c r="I40" s="9" t="s">
        <v>338</v>
      </c>
      <c r="J40" s="9" t="s">
        <v>339</v>
      </c>
      <c r="K40" s="14"/>
      <c r="L40" s="9"/>
      <c r="M40" s="7" t="s">
        <v>340</v>
      </c>
      <c r="N40" s="16" t="s">
        <v>22</v>
      </c>
      <c r="O40" s="16"/>
      <c r="P40" s="17" t="n">
        <v>46307</v>
      </c>
      <c r="Q40" s="7"/>
    </row>
    <row r="41" customFormat="false" ht="81.75" hidden="false" customHeight="true" outlineLevel="0" collapsed="false">
      <c r="A41" s="14" t="s">
        <v>341</v>
      </c>
      <c r="B41" s="14" t="s">
        <v>333</v>
      </c>
      <c r="C41" s="9" t="s">
        <v>334</v>
      </c>
      <c r="D41" s="9" t="s">
        <v>335</v>
      </c>
      <c r="E41" s="9" t="s">
        <v>342</v>
      </c>
      <c r="F41" s="14" t="s">
        <v>144</v>
      </c>
      <c r="G41" s="9" t="s">
        <v>183</v>
      </c>
      <c r="H41" s="9" t="s">
        <v>343</v>
      </c>
      <c r="I41" s="9" t="s">
        <v>344</v>
      </c>
      <c r="J41" s="9" t="s">
        <v>345</v>
      </c>
      <c r="K41" s="14" t="s">
        <v>106</v>
      </c>
      <c r="L41" s="15" t="s">
        <v>346</v>
      </c>
      <c r="M41" s="7" t="s">
        <v>347</v>
      </c>
      <c r="N41" s="16" t="s">
        <v>22</v>
      </c>
      <c r="O41" s="16"/>
      <c r="P41" s="17" t="n">
        <v>46307</v>
      </c>
      <c r="Q41" s="7"/>
    </row>
    <row r="42" customFormat="false" ht="30" hidden="false" customHeight="true" outlineLevel="0" collapsed="false">
      <c r="A42" s="14" t="s">
        <v>348</v>
      </c>
      <c r="B42" s="14" t="s">
        <v>349</v>
      </c>
      <c r="C42" s="9" t="s">
        <v>334</v>
      </c>
      <c r="D42" s="9" t="s">
        <v>350</v>
      </c>
      <c r="E42" s="9" t="s">
        <v>351</v>
      </c>
      <c r="F42" s="14" t="s">
        <v>144</v>
      </c>
      <c r="G42" s="9" t="s">
        <v>352</v>
      </c>
      <c r="H42" s="9" t="s">
        <v>353</v>
      </c>
      <c r="I42" s="9"/>
      <c r="J42" s="9" t="s">
        <v>354</v>
      </c>
      <c r="K42" s="14"/>
      <c r="L42" s="9"/>
      <c r="M42" s="7" t="s">
        <v>355</v>
      </c>
      <c r="N42" s="16" t="s">
        <v>22</v>
      </c>
      <c r="O42" s="16"/>
      <c r="P42" s="17" t="n">
        <v>46307</v>
      </c>
      <c r="Q42" s="7"/>
    </row>
    <row r="43" customFormat="false" ht="39" hidden="false" customHeight="true" outlineLevel="0" collapsed="false">
      <c r="A43" s="14" t="s">
        <v>356</v>
      </c>
      <c r="B43" s="14" t="s">
        <v>349</v>
      </c>
      <c r="C43" s="9" t="s">
        <v>334</v>
      </c>
      <c r="D43" s="9" t="s">
        <v>350</v>
      </c>
      <c r="E43" s="9" t="s">
        <v>357</v>
      </c>
      <c r="F43" s="14" t="s">
        <v>70</v>
      </c>
      <c r="G43" s="9" t="s">
        <v>358</v>
      </c>
      <c r="H43" s="9" t="s">
        <v>359</v>
      </c>
      <c r="I43" s="9" t="s">
        <v>360</v>
      </c>
      <c r="J43" s="9" t="s">
        <v>304</v>
      </c>
      <c r="K43" s="14" t="s">
        <v>106</v>
      </c>
      <c r="L43" s="15" t="s">
        <v>361</v>
      </c>
      <c r="M43" s="7"/>
      <c r="N43" s="16" t="s">
        <v>181</v>
      </c>
      <c r="O43" s="16"/>
      <c r="P43" s="18"/>
      <c r="Q43" s="7"/>
    </row>
    <row r="44" customFormat="false" ht="30" hidden="false" customHeight="true" outlineLevel="0" collapsed="false">
      <c r="A44" s="14" t="s">
        <v>362</v>
      </c>
      <c r="B44" s="14" t="s">
        <v>363</v>
      </c>
      <c r="C44" s="9" t="s">
        <v>334</v>
      </c>
      <c r="D44" s="9" t="s">
        <v>364</v>
      </c>
      <c r="E44" s="9" t="s">
        <v>365</v>
      </c>
      <c r="F44" s="14" t="s">
        <v>144</v>
      </c>
      <c r="G44" s="9" t="s">
        <v>352</v>
      </c>
      <c r="H44" s="9" t="s">
        <v>366</v>
      </c>
      <c r="I44" s="9"/>
      <c r="J44" s="9" t="s">
        <v>367</v>
      </c>
      <c r="K44" s="14"/>
      <c r="L44" s="9"/>
      <c r="M44" s="7" t="s">
        <v>368</v>
      </c>
      <c r="N44" s="16" t="s">
        <v>22</v>
      </c>
      <c r="O44" s="16"/>
      <c r="P44" s="17" t="n">
        <v>46307</v>
      </c>
      <c r="Q44" s="7"/>
    </row>
    <row r="45" customFormat="false" ht="30" hidden="false" customHeight="true" outlineLevel="0" collapsed="false">
      <c r="A45" s="14" t="s">
        <v>369</v>
      </c>
      <c r="B45" s="14" t="s">
        <v>363</v>
      </c>
      <c r="C45" s="9" t="s">
        <v>334</v>
      </c>
      <c r="D45" s="9" t="s">
        <v>364</v>
      </c>
      <c r="E45" s="9" t="s">
        <v>370</v>
      </c>
      <c r="F45" s="14" t="s">
        <v>70</v>
      </c>
      <c r="G45" s="9" t="s">
        <v>358</v>
      </c>
      <c r="H45" s="9" t="s">
        <v>371</v>
      </c>
      <c r="I45" s="9"/>
      <c r="J45" s="9" t="s">
        <v>304</v>
      </c>
      <c r="K45" s="14"/>
      <c r="L45" s="9"/>
      <c r="M45" s="7"/>
      <c r="N45" s="16" t="s">
        <v>181</v>
      </c>
      <c r="O45" s="16"/>
      <c r="P45" s="18"/>
      <c r="Q45" s="7"/>
    </row>
    <row r="46" customFormat="false" ht="30" hidden="false" customHeight="true" outlineLevel="0" collapsed="false">
      <c r="A46" s="14" t="s">
        <v>372</v>
      </c>
      <c r="B46" s="14" t="s">
        <v>373</v>
      </c>
      <c r="C46" s="9" t="s">
        <v>334</v>
      </c>
      <c r="D46" s="9" t="s">
        <v>374</v>
      </c>
      <c r="E46" s="9" t="s">
        <v>375</v>
      </c>
      <c r="F46" s="14" t="s">
        <v>70</v>
      </c>
      <c r="G46" s="9" t="s">
        <v>183</v>
      </c>
      <c r="H46" s="9" t="s">
        <v>376</v>
      </c>
      <c r="I46" s="9"/>
      <c r="J46" s="9" t="s">
        <v>377</v>
      </c>
      <c r="K46" s="14"/>
      <c r="L46" s="9"/>
      <c r="M46" s="7" t="s">
        <v>378</v>
      </c>
      <c r="N46" s="16" t="s">
        <v>22</v>
      </c>
      <c r="O46" s="16"/>
      <c r="P46" s="17" t="n">
        <v>46307</v>
      </c>
      <c r="Q46" s="7"/>
    </row>
    <row r="47" customFormat="false" ht="42.75" hidden="false" customHeight="true" outlineLevel="0" collapsed="false">
      <c r="A47" s="14" t="s">
        <v>379</v>
      </c>
      <c r="B47" s="14" t="s">
        <v>373</v>
      </c>
      <c r="C47" s="9" t="s">
        <v>334</v>
      </c>
      <c r="D47" s="9" t="s">
        <v>374</v>
      </c>
      <c r="E47" s="9" t="s">
        <v>380</v>
      </c>
      <c r="F47" s="14" t="s">
        <v>70</v>
      </c>
      <c r="G47" s="9" t="s">
        <v>381</v>
      </c>
      <c r="H47" s="9" t="s">
        <v>382</v>
      </c>
      <c r="I47" s="9"/>
      <c r="J47" s="9" t="s">
        <v>383</v>
      </c>
      <c r="K47" s="14" t="s">
        <v>106</v>
      </c>
      <c r="L47" s="15" t="s">
        <v>384</v>
      </c>
      <c r="M47" s="7" t="s">
        <v>385</v>
      </c>
      <c r="N47" s="16" t="s">
        <v>22</v>
      </c>
      <c r="O47" s="16"/>
      <c r="P47" s="17" t="n">
        <v>46307</v>
      </c>
      <c r="Q47" s="7"/>
    </row>
    <row r="48" customFormat="false" ht="108" hidden="false" customHeight="true" outlineLevel="0" collapsed="false">
      <c r="A48" s="14" t="s">
        <v>386</v>
      </c>
      <c r="B48" s="14" t="s">
        <v>387</v>
      </c>
      <c r="C48" s="9" t="s">
        <v>334</v>
      </c>
      <c r="D48" s="9" t="s">
        <v>388</v>
      </c>
      <c r="E48" s="9" t="s">
        <v>389</v>
      </c>
      <c r="F48" s="14" t="s">
        <v>70</v>
      </c>
      <c r="G48" s="9" t="s">
        <v>194</v>
      </c>
      <c r="H48" s="9" t="s">
        <v>390</v>
      </c>
      <c r="I48" s="9" t="s">
        <v>391</v>
      </c>
      <c r="J48" s="9" t="s">
        <v>392</v>
      </c>
      <c r="K48" s="14" t="s">
        <v>106</v>
      </c>
      <c r="L48" s="15" t="s">
        <v>393</v>
      </c>
      <c r="M48" s="7" t="s">
        <v>394</v>
      </c>
      <c r="N48" s="16" t="s">
        <v>189</v>
      </c>
      <c r="O48" s="16" t="s">
        <v>190</v>
      </c>
      <c r="P48" s="17" t="n">
        <v>46307</v>
      </c>
      <c r="Q48" s="7" t="s">
        <v>395</v>
      </c>
    </row>
    <row r="49" customFormat="false" ht="30" hidden="false" customHeight="true" outlineLevel="0" collapsed="false">
      <c r="A49" s="14" t="s">
        <v>396</v>
      </c>
      <c r="B49" s="14" t="s">
        <v>387</v>
      </c>
      <c r="C49" s="9" t="s">
        <v>334</v>
      </c>
      <c r="D49" s="9" t="s">
        <v>388</v>
      </c>
      <c r="E49" s="9" t="s">
        <v>397</v>
      </c>
      <c r="F49" s="14" t="s">
        <v>70</v>
      </c>
      <c r="G49" s="9" t="s">
        <v>183</v>
      </c>
      <c r="H49" s="9" t="s">
        <v>398</v>
      </c>
      <c r="I49" s="9"/>
      <c r="J49" s="9" t="s">
        <v>304</v>
      </c>
      <c r="K49" s="14"/>
      <c r="L49" s="9"/>
      <c r="M49" s="7"/>
      <c r="N49" s="16" t="s">
        <v>181</v>
      </c>
      <c r="O49" s="16"/>
      <c r="P49" s="18"/>
      <c r="Q49" s="7"/>
    </row>
    <row r="50" customFormat="false" ht="51.75" hidden="false" customHeight="true" outlineLevel="0" collapsed="false">
      <c r="A50" s="14" t="s">
        <v>399</v>
      </c>
      <c r="B50" s="14" t="s">
        <v>387</v>
      </c>
      <c r="C50" s="9" t="s">
        <v>334</v>
      </c>
      <c r="D50" s="9" t="s">
        <v>388</v>
      </c>
      <c r="E50" s="9" t="s">
        <v>400</v>
      </c>
      <c r="F50" s="14" t="s">
        <v>70</v>
      </c>
      <c r="G50" s="9" t="s">
        <v>194</v>
      </c>
      <c r="H50" s="9" t="s">
        <v>401</v>
      </c>
      <c r="I50" s="9" t="s">
        <v>402</v>
      </c>
      <c r="J50" s="9" t="s">
        <v>403</v>
      </c>
      <c r="K50" s="14" t="s">
        <v>186</v>
      </c>
      <c r="L50" s="15" t="s">
        <v>404</v>
      </c>
      <c r="M50" s="7"/>
      <c r="N50" s="16" t="s">
        <v>181</v>
      </c>
      <c r="O50" s="16"/>
      <c r="P50" s="18"/>
      <c r="Q50" s="7"/>
    </row>
    <row r="51" customFormat="false" ht="30" hidden="false" customHeight="true" outlineLevel="0" collapsed="false">
      <c r="A51" s="14" t="s">
        <v>405</v>
      </c>
      <c r="B51" s="14" t="s">
        <v>406</v>
      </c>
      <c r="C51" s="9" t="s">
        <v>334</v>
      </c>
      <c r="D51" s="9" t="s">
        <v>407</v>
      </c>
      <c r="E51" s="9" t="s">
        <v>408</v>
      </c>
      <c r="F51" s="14" t="s">
        <v>70</v>
      </c>
      <c r="G51" s="9"/>
      <c r="H51" s="9" t="s">
        <v>409</v>
      </c>
      <c r="I51" s="9" t="s">
        <v>410</v>
      </c>
      <c r="J51" s="9" t="s">
        <v>411</v>
      </c>
      <c r="K51" s="14" t="s">
        <v>106</v>
      </c>
      <c r="L51" s="15" t="s">
        <v>412</v>
      </c>
      <c r="M51" s="7"/>
      <c r="N51" s="16" t="s">
        <v>181</v>
      </c>
      <c r="O51" s="16"/>
      <c r="P51" s="18"/>
      <c r="Q51" s="7"/>
    </row>
    <row r="52" customFormat="false" ht="51.75" hidden="false" customHeight="true" outlineLevel="0" collapsed="false">
      <c r="A52" s="14" t="s">
        <v>413</v>
      </c>
      <c r="B52" s="14" t="s">
        <v>406</v>
      </c>
      <c r="C52" s="9" t="s">
        <v>334</v>
      </c>
      <c r="D52" s="9" t="s">
        <v>407</v>
      </c>
      <c r="E52" s="9" t="s">
        <v>414</v>
      </c>
      <c r="F52" s="14" t="s">
        <v>120</v>
      </c>
      <c r="G52" s="9"/>
      <c r="H52" s="9" t="s">
        <v>415</v>
      </c>
      <c r="I52" s="9"/>
      <c r="J52" s="9" t="s">
        <v>416</v>
      </c>
      <c r="K52" s="14" t="s">
        <v>75</v>
      </c>
      <c r="L52" s="15" t="s">
        <v>417</v>
      </c>
      <c r="M52" s="7"/>
      <c r="N52" s="16" t="s">
        <v>181</v>
      </c>
      <c r="O52" s="16"/>
      <c r="P52" s="18"/>
      <c r="Q52" s="7"/>
    </row>
    <row r="53" customFormat="false" ht="78" hidden="false" customHeight="true" outlineLevel="0" collapsed="false">
      <c r="A53" s="14" t="s">
        <v>418</v>
      </c>
      <c r="B53" s="14" t="s">
        <v>419</v>
      </c>
      <c r="C53" s="9" t="s">
        <v>420</v>
      </c>
      <c r="D53" s="9" t="s">
        <v>421</v>
      </c>
      <c r="E53" s="9" t="s">
        <v>422</v>
      </c>
      <c r="F53" s="14" t="s">
        <v>144</v>
      </c>
      <c r="G53" s="9" t="s">
        <v>423</v>
      </c>
      <c r="H53" s="9" t="s">
        <v>424</v>
      </c>
      <c r="I53" s="9" t="s">
        <v>425</v>
      </c>
      <c r="J53" s="9" t="s">
        <v>426</v>
      </c>
      <c r="K53" s="14" t="s">
        <v>106</v>
      </c>
      <c r="L53" s="15" t="s">
        <v>427</v>
      </c>
      <c r="M53" s="7"/>
      <c r="N53" s="16" t="s">
        <v>181</v>
      </c>
      <c r="O53" s="16"/>
      <c r="P53" s="18"/>
      <c r="Q53" s="7"/>
    </row>
  </sheetData>
  <autoFilter ref="A4:Q53"/>
  <mergeCells count="2">
    <mergeCell ref="A2:Q2"/>
    <mergeCell ref="A3:Q3"/>
  </mergeCells>
  <conditionalFormatting sqref="N5:N53">
    <cfRule type="cellIs" priority="2" operator="equal" aboveAverage="0" equalAverage="0" bottom="0" percent="0" rank="0" text="" dxfId="7">
      <formula>"Pass"</formula>
    </cfRule>
    <cfRule type="cellIs" priority="3" operator="equal" aboveAverage="0" equalAverage="0" bottom="0" percent="0" rank="0" text="" dxfId="8">
      <formula>"Fail"</formula>
    </cfRule>
    <cfRule type="cellIs" priority="4" operator="equal" aboveAverage="0" equalAverage="0" bottom="0" percent="0" rank="0" text="" dxfId="9">
      <formula>"Blocked"</formula>
    </cfRule>
  </conditionalFormatting>
  <dataValidations count="2">
    <dataValidation allowBlank="false" error="Chọn: Not Run, Pass, Fail, Blocked hoặc N/A" errorStyle="stop" operator="between" showDropDown="false" showErrorMessage="false" showInputMessage="false" sqref="N5:N53" type="list">
      <formula1>"Not Run,Pass,Fail,Blocked,N/A"</formula1>
      <formula2>0</formula2>
    </dataValidation>
    <dataValidation allowBlank="true" error="Nhập ngày dạng dd/mm/yyyy" errorStyle="stop" operator="greaterThan" showDropDown="false" showErrorMessage="false" showInputMessage="false" sqref="P5:P53"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8" min="2" style="1" width="12"/>
  </cols>
  <sheetData>
    <row r="1" customFormat="false" ht="18" hidden="false" customHeight="true" outlineLevel="0" collapsed="false">
      <c r="A1" s="2" t="s">
        <v>428</v>
      </c>
    </row>
    <row r="2" customFormat="false" ht="15" hidden="false" customHeight="true" outlineLevel="0" collapsed="false">
      <c r="A2" s="19" t="s">
        <v>429</v>
      </c>
    </row>
    <row r="4" customFormat="false" ht="15" hidden="false" customHeight="true" outlineLevel="0" collapsed="false">
      <c r="A4" s="6" t="s">
        <v>430</v>
      </c>
      <c r="B4" s="20" t="n">
        <f aca="false">COUNTA('Thực thi nhóm 1'!$A$5:$A$53)</f>
        <v>49</v>
      </c>
    </row>
    <row r="5" customFormat="false" ht="15" hidden="false" customHeight="true" outlineLevel="0" collapsed="false">
      <c r="A5" s="6" t="s">
        <v>431</v>
      </c>
      <c r="B5" s="20" t="n">
        <f aca="false">B4-B10</f>
        <v>37</v>
      </c>
    </row>
    <row r="6" customFormat="false" ht="15" hidden="false" customHeight="true" outlineLevel="0" collapsed="false">
      <c r="A6" s="6" t="s">
        <v>22</v>
      </c>
      <c r="B6" s="20" t="n">
        <f aca="false">COUNTIF('Thực thi nhóm 1'!$N$5:$N$53,"Pass")</f>
        <v>35</v>
      </c>
    </row>
    <row r="7" customFormat="false" ht="15" hidden="false" customHeight="true" outlineLevel="0" collapsed="false">
      <c r="A7" s="6" t="s">
        <v>189</v>
      </c>
      <c r="B7" s="20" t="n">
        <f aca="false">COUNTIF('Thực thi nhóm 1'!$N$5:$N$53,"Fail")</f>
        <v>2</v>
      </c>
    </row>
    <row r="8" customFormat="false" ht="15" hidden="false" customHeight="true" outlineLevel="0" collapsed="false">
      <c r="A8" s="6" t="s">
        <v>432</v>
      </c>
      <c r="B8" s="20" t="n">
        <f aca="false">COUNTIF('Thực thi nhóm 1'!$N$5:$N$53,"Blocked")</f>
        <v>0</v>
      </c>
    </row>
    <row r="9" customFormat="false" ht="15" hidden="false" customHeight="true" outlineLevel="0" collapsed="false">
      <c r="A9" s="6" t="s">
        <v>433</v>
      </c>
      <c r="B9" s="20" t="n">
        <f aca="false">COUNTIF('Thực thi nhóm 1'!$N$5:$N$53,"N/A")</f>
        <v>0</v>
      </c>
    </row>
    <row r="10" customFormat="false" ht="15" hidden="false" customHeight="true" outlineLevel="0" collapsed="false">
      <c r="A10" s="6" t="s">
        <v>181</v>
      </c>
      <c r="B10" s="20" t="n">
        <f aca="false">COUNTIF('Thực thi nhóm 1'!$N$5:$N$53,"Not Run")</f>
        <v>12</v>
      </c>
    </row>
    <row r="11" customFormat="false" ht="15" hidden="false" customHeight="true" outlineLevel="0" collapsed="false">
      <c r="A11" s="6" t="s">
        <v>434</v>
      </c>
      <c r="B11" s="21" t="n">
        <f aca="false">IF(B4=0,0,B5/B4)</f>
        <v>0.755102040816327</v>
      </c>
    </row>
    <row r="12" customFormat="false" ht="15" hidden="false" customHeight="true" outlineLevel="0" collapsed="false">
      <c r="A12" s="6" t="s">
        <v>435</v>
      </c>
      <c r="B12" s="21" t="n">
        <f aca="false">IF(B5=0,0,B6/B5)</f>
        <v>0.945945945945946</v>
      </c>
    </row>
    <row r="13" customFormat="false" ht="15" hidden="false" customHeight="true" outlineLevel="0" collapsed="false">
      <c r="A13" s="6" t="s">
        <v>436</v>
      </c>
      <c r="B13" s="21" t="n">
        <f aca="false">IF(B5=0,0,B7/B5)</f>
        <v>0.0540540540540541</v>
      </c>
    </row>
    <row r="15" customFormat="false" ht="15" hidden="false" customHeight="true" outlineLevel="0" collapsed="false">
      <c r="A15" s="22" t="s">
        <v>437</v>
      </c>
    </row>
    <row r="16" customFormat="false" ht="15" hidden="false" customHeight="true" outlineLevel="0" collapsed="false">
      <c r="A16" s="13" t="s">
        <v>59</v>
      </c>
      <c r="B16" s="13" t="s">
        <v>438</v>
      </c>
      <c r="C16" s="13" t="s">
        <v>439</v>
      </c>
      <c r="D16" s="13" t="s">
        <v>22</v>
      </c>
      <c r="E16" s="13" t="s">
        <v>189</v>
      </c>
    </row>
    <row r="17" customFormat="false" ht="15" hidden="false" customHeight="true" outlineLevel="0" collapsed="false">
      <c r="A17" s="20" t="s">
        <v>70</v>
      </c>
      <c r="B17" s="20" t="n">
        <f aca="false">COUNTIF('Thực thi nhóm 1'!$F$5:$F$53,A17)</f>
        <v>33</v>
      </c>
      <c r="C17" s="20" t="n">
        <f aca="false">COUNTIFS('Thực thi nhóm 1'!$F$5:$F$53,A17,'Thực thi nhóm 1'!$N$5:$N$53,"&lt;&gt;Not Run")</f>
        <v>24</v>
      </c>
      <c r="D17" s="20" t="n">
        <f aca="false">COUNTIFS('Thực thi nhóm 1'!$F$5:$F$53,A17,'Thực thi nhóm 1'!$N$5:$N$53,"Pass")</f>
        <v>22</v>
      </c>
      <c r="E17" s="20" t="n">
        <f aca="false">COUNTIFS('Thực thi nhóm 1'!$F$5:$F$53,A17,'Thực thi nhóm 1'!$N$5:$N$53,"Fail")</f>
        <v>2</v>
      </c>
    </row>
    <row r="18" customFormat="false" ht="15" hidden="false" customHeight="true" outlineLevel="0" collapsed="false">
      <c r="A18" s="20" t="s">
        <v>144</v>
      </c>
      <c r="B18" s="20" t="n">
        <f aca="false">COUNTIF('Thực thi nhóm 1'!$F$5:$F$53,A18)</f>
        <v>12</v>
      </c>
      <c r="C18" s="20" t="n">
        <f aca="false">COUNTIFS('Thực thi nhóm 1'!$F$5:$F$53,A18,'Thực thi nhóm 1'!$N$5:$N$53,"&lt;&gt;Not Run")</f>
        <v>10</v>
      </c>
      <c r="D18" s="20" t="n">
        <f aca="false">COUNTIFS('Thực thi nhóm 1'!$F$5:$F$53,A18,'Thực thi nhóm 1'!$N$5:$N$53,"Pass")</f>
        <v>10</v>
      </c>
      <c r="E18" s="20" t="n">
        <f aca="false">COUNTIFS('Thực thi nhóm 1'!$F$5:$F$53,A18,'Thực thi nhóm 1'!$N$5:$N$53,"Fail")</f>
        <v>0</v>
      </c>
    </row>
    <row r="19" customFormat="false" ht="15" hidden="false" customHeight="true" outlineLevel="0" collapsed="false">
      <c r="A19" s="20" t="s">
        <v>120</v>
      </c>
      <c r="B19" s="20" t="n">
        <f aca="false">COUNTIF('Thực thi nhóm 1'!$F$5:$F$53,A19)</f>
        <v>4</v>
      </c>
      <c r="C19" s="20" t="n">
        <f aca="false">COUNTIFS('Thực thi nhóm 1'!$F$5:$F$53,A19,'Thực thi nhóm 1'!$N$5:$N$53,"&lt;&gt;Not Run")</f>
        <v>3</v>
      </c>
      <c r="D19" s="20" t="n">
        <f aca="false">COUNTIFS('Thực thi nhóm 1'!$F$5:$F$53,A19,'Thực thi nhóm 1'!$N$5:$N$53,"Pass")</f>
        <v>3</v>
      </c>
      <c r="E19" s="20" t="n">
        <f aca="false">COUNTIFS('Thực thi nhóm 1'!$F$5:$F$53,A19,'Thực thi nhóm 1'!$N$5:$N$53,"Fail")</f>
        <v>0</v>
      </c>
    </row>
    <row r="22" customFormat="false" ht="15" hidden="false" customHeight="true" outlineLevel="0" collapsed="false">
      <c r="A22" s="22" t="s">
        <v>440</v>
      </c>
    </row>
    <row r="23" customFormat="false" ht="15" hidden="false" customHeight="true" outlineLevel="0" collapsed="false">
      <c r="A23" s="13" t="s">
        <v>56</v>
      </c>
      <c r="B23" s="13" t="s">
        <v>438</v>
      </c>
      <c r="C23" s="13" t="s">
        <v>439</v>
      </c>
      <c r="D23" s="13" t="s">
        <v>22</v>
      </c>
      <c r="E23" s="13" t="s">
        <v>189</v>
      </c>
    </row>
    <row r="24" customFormat="false" ht="15" hidden="false" customHeight="true" outlineLevel="0" collapsed="false">
      <c r="A24" s="20" t="s">
        <v>67</v>
      </c>
      <c r="B24" s="20" t="n">
        <f aca="false">COUNTIF('Thực thi nhóm 1'!$C$5:$C$53,A24)</f>
        <v>12</v>
      </c>
      <c r="C24" s="20" t="n">
        <f aca="false">COUNTIFS('Thực thi nhóm 1'!$C$5:$C$53,A24,'Thực thi nhóm 1'!$N$5:$N$53,"&lt;&gt;Not Run")</f>
        <v>12</v>
      </c>
      <c r="D24" s="20" t="n">
        <f aca="false">COUNTIFS('Thực thi nhóm 1'!$C$5:$C$53,A24,'Thực thi nhóm 1'!$N$5:$N$53,"Pass")</f>
        <v>12</v>
      </c>
      <c r="E24" s="20" t="n">
        <f aca="false">COUNTIFS('Thực thi nhóm 1'!$C$5:$C$53,A24,'Thực thi nhóm 1'!$N$5:$N$53,"Fail")</f>
        <v>0</v>
      </c>
    </row>
    <row r="25" customFormat="false" ht="15" hidden="false" customHeight="true" outlineLevel="0" collapsed="false">
      <c r="A25" s="20" t="s">
        <v>168</v>
      </c>
      <c r="B25" s="20" t="n">
        <f aca="false">COUNTIF('Thực thi nhóm 1'!$C$5:$C$53,A25)</f>
        <v>4</v>
      </c>
      <c r="C25" s="20" t="n">
        <f aca="false">COUNTIFS('Thực thi nhóm 1'!$C$5:$C$53,A25,'Thực thi nhóm 1'!$N$5:$N$53,"&lt;&gt;Not Run")</f>
        <v>3</v>
      </c>
      <c r="D25" s="20" t="n">
        <f aca="false">COUNTIFS('Thực thi nhóm 1'!$C$5:$C$53,A25,'Thực thi nhóm 1'!$N$5:$N$53,"Pass")</f>
        <v>2</v>
      </c>
      <c r="E25" s="20" t="n">
        <f aca="false">COUNTIFS('Thực thi nhóm 1'!$C$5:$C$53,A25,'Thực thi nhóm 1'!$N$5:$N$53,"Fail")</f>
        <v>1</v>
      </c>
    </row>
    <row r="26" customFormat="false" ht="15" hidden="false" customHeight="true" outlineLevel="0" collapsed="false">
      <c r="A26" s="20" t="s">
        <v>200</v>
      </c>
      <c r="B26" s="20" t="n">
        <f aca="false">COUNTIF('Thực thi nhóm 1'!$C$5:$C$53,A26)</f>
        <v>5</v>
      </c>
      <c r="C26" s="20" t="n">
        <f aca="false">COUNTIFS('Thực thi nhóm 1'!$C$5:$C$53,A26,'Thực thi nhóm 1'!$N$5:$N$53,"&lt;&gt;Not Run")</f>
        <v>4</v>
      </c>
      <c r="D26" s="20" t="n">
        <f aca="false">COUNTIFS('Thực thi nhóm 1'!$C$5:$C$53,A26,'Thực thi nhóm 1'!$N$5:$N$53,"Pass")</f>
        <v>4</v>
      </c>
      <c r="E26" s="20" t="n">
        <f aca="false">COUNTIFS('Thực thi nhóm 1'!$C$5:$C$53,A26,'Thực thi nhóm 1'!$N$5:$N$53,"Fail")</f>
        <v>0</v>
      </c>
    </row>
    <row r="27" customFormat="false" ht="15" hidden="false" customHeight="true" outlineLevel="0" collapsed="false">
      <c r="A27" s="20" t="s">
        <v>237</v>
      </c>
      <c r="B27" s="20" t="n">
        <f aca="false">COUNTIF('Thực thi nhóm 1'!$C$5:$C$53,A27)</f>
        <v>14</v>
      </c>
      <c r="C27" s="20" t="n">
        <f aca="false">COUNTIFS('Thực thi nhóm 1'!$C$5:$C$53,A27,'Thực thi nhóm 1'!$N$5:$N$53,"&lt;&gt;Not Run")</f>
        <v>11</v>
      </c>
      <c r="D27" s="20" t="n">
        <f aca="false">COUNTIFS('Thực thi nhóm 1'!$C$5:$C$53,A27,'Thực thi nhóm 1'!$N$5:$N$53,"Pass")</f>
        <v>11</v>
      </c>
      <c r="E27" s="20" t="n">
        <f aca="false">COUNTIFS('Thực thi nhóm 1'!$C$5:$C$53,A27,'Thực thi nhóm 1'!$N$5:$N$53,"Fail")</f>
        <v>0</v>
      </c>
    </row>
    <row r="28" customFormat="false" ht="15" hidden="false" customHeight="true" outlineLevel="0" collapsed="false">
      <c r="A28" s="20" t="s">
        <v>334</v>
      </c>
      <c r="B28" s="20" t="n">
        <f aca="false">COUNTIF('Thực thi nhóm 1'!$C$5:$C$53,A28)</f>
        <v>13</v>
      </c>
      <c r="C28" s="20" t="n">
        <f aca="false">COUNTIFS('Thực thi nhóm 1'!$C$5:$C$53,A28,'Thực thi nhóm 1'!$N$5:$N$53,"&lt;&gt;Not Run")</f>
        <v>7</v>
      </c>
      <c r="D28" s="20" t="n">
        <f aca="false">COUNTIFS('Thực thi nhóm 1'!$C$5:$C$53,A28,'Thực thi nhóm 1'!$N$5:$N$53,"Pass")</f>
        <v>6</v>
      </c>
      <c r="E28" s="20" t="n">
        <f aca="false">COUNTIFS('Thực thi nhóm 1'!$C$5:$C$53,A28,'Thực thi nhóm 1'!$N$5:$N$53,"Fail")</f>
        <v>1</v>
      </c>
    </row>
    <row r="29" customFormat="false" ht="15" hidden="false" customHeight="true" outlineLevel="0" collapsed="false">
      <c r="A29" s="20" t="s">
        <v>420</v>
      </c>
      <c r="B29" s="20" t="n">
        <f aca="false">COUNTIF('Thực thi nhóm 1'!$C$5:$C$53,A29)</f>
        <v>1</v>
      </c>
      <c r="C29" s="20" t="n">
        <f aca="false">COUNTIFS('Thực thi nhóm 1'!$C$5:$C$53,A29,'Thực thi nhóm 1'!$N$5:$N$53,"&lt;&gt;Not Run")</f>
        <v>0</v>
      </c>
      <c r="D29" s="20" t="n">
        <f aca="false">COUNTIFS('Thực thi nhóm 1'!$C$5:$C$53,A29,'Thực thi nhóm 1'!$N$5:$N$53,"Pass")</f>
        <v>0</v>
      </c>
      <c r="E29" s="20" t="n">
        <f aca="false">COUNTIFS('Thực thi nhóm 1'!$C$5:$C$53,A29,'Thực thi nhóm 1'!$N$5:$N$53,"Fail")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2026-10-12T07:45:41Z</dcterms:created>
  <dc:creator>openpyxl</dc:creator>
  <dc:description/>
  <dc:language>en-US</dc:language>
  <cp:lastModifiedBy>Administrator</cp:lastModifiedBy>
  <dcterms:modified xsi:type="dcterms:W3CDTF">2026-10-12T09:55:56Z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