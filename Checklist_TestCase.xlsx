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ULL ĐỒ ÁN\Kiểm thử &amp; Đảm bảo CLPM (cô Vân)\"/>
    </mc:Choice>
  </mc:AlternateContent>
  <xr:revisionPtr revIDLastSave="0" documentId="13_ncr:1_{AFF3F885-23C2-44F4-9054-9D912F3BA2A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ấu hình" sheetId="2" r:id="rId1"/>
    <sheet name="Tổng quan" sheetId="3" r:id="rId2"/>
    <sheet name="Checklist cover" sheetId="6" r:id="rId3"/>
    <sheet name="Test Scenario" sheetId="7" r:id="rId4"/>
    <sheet name="Test Cases" sheetId="8" r:id="rId5"/>
    <sheet name="Automation" sheetId="9" r:id="rId6"/>
    <sheet name="Non-functional" sheetId="10" r:id="rId7"/>
    <sheet name="Bug Log" sheetId="11" r:id="rId8"/>
    <sheet name="Contribution Log" sheetId="12" r:id="rId9"/>
    <sheet name="Test Summary" sheetId="13" r:id="rId10"/>
  </sheets>
  <definedNames>
    <definedName name="_xlnm._FilterDatabase" localSheetId="7" hidden="1">'Bug Log'!$A$4:$Q$154</definedName>
    <definedName name="_xlnm._FilterDatabase" localSheetId="2" hidden="1">'Checklist cover'!$A$4:$N$56</definedName>
    <definedName name="_xlnm._FilterDatabase" localSheetId="4" hidden="1">'Test Cases'!$A$4:$W$104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0" i="13" l="1"/>
  <c r="B65" i="13"/>
  <c r="C65" i="13" s="1"/>
  <c r="B64" i="13"/>
  <c r="C64" i="13" s="1"/>
  <c r="B63" i="13"/>
  <c r="C63" i="13" s="1"/>
  <c r="D58" i="13"/>
  <c r="B58" i="13"/>
  <c r="C58" i="13" s="1"/>
  <c r="D57" i="13"/>
  <c r="B57" i="13"/>
  <c r="C57" i="13" s="1"/>
  <c r="D56" i="13"/>
  <c r="B56" i="13"/>
  <c r="C56" i="13" s="1"/>
  <c r="D55" i="13"/>
  <c r="D59" i="13" s="1"/>
  <c r="C55" i="13"/>
  <c r="B69" i="13" s="1"/>
  <c r="B55" i="13"/>
  <c r="B59" i="13" s="1"/>
  <c r="B51" i="13"/>
  <c r="B50" i="13"/>
  <c r="B49" i="13"/>
  <c r="B48" i="13"/>
  <c r="E38" i="13"/>
  <c r="D38" i="13"/>
  <c r="B38" i="13"/>
  <c r="C38" i="13" s="1"/>
  <c r="E37" i="13"/>
  <c r="D37" i="13"/>
  <c r="B37" i="13"/>
  <c r="C37" i="13" s="1"/>
  <c r="E36" i="13"/>
  <c r="D36" i="13"/>
  <c r="B36" i="13"/>
  <c r="C36" i="13" s="1"/>
  <c r="E35" i="13"/>
  <c r="D35" i="13"/>
  <c r="B35" i="13"/>
  <c r="C35" i="13" s="1"/>
  <c r="E34" i="13"/>
  <c r="D34" i="13"/>
  <c r="B34" i="13"/>
  <c r="C34" i="13" s="1"/>
  <c r="E33" i="13"/>
  <c r="D33" i="13"/>
  <c r="B33" i="13"/>
  <c r="C33" i="13" s="1"/>
  <c r="H28" i="13"/>
  <c r="G28" i="13"/>
  <c r="F28" i="13"/>
  <c r="E28" i="13"/>
  <c r="D28" i="13"/>
  <c r="C28" i="13"/>
  <c r="B28" i="13"/>
  <c r="G27" i="13"/>
  <c r="F27" i="13"/>
  <c r="E27" i="13"/>
  <c r="E29" i="13" s="1"/>
  <c r="D27" i="13"/>
  <c r="C27" i="13"/>
  <c r="H27" i="13" s="1"/>
  <c r="B27" i="13"/>
  <c r="G26" i="13"/>
  <c r="F26" i="13"/>
  <c r="E26" i="13"/>
  <c r="D26" i="13"/>
  <c r="C26" i="13"/>
  <c r="H26" i="13" s="1"/>
  <c r="B26" i="13"/>
  <c r="G25" i="13"/>
  <c r="F25" i="13"/>
  <c r="E25" i="13"/>
  <c r="D25" i="13"/>
  <c r="B25" i="13"/>
  <c r="C25" i="13" s="1"/>
  <c r="H25" i="13" s="1"/>
  <c r="G24" i="13"/>
  <c r="F24" i="13"/>
  <c r="E24" i="13"/>
  <c r="D24" i="13"/>
  <c r="B24" i="13"/>
  <c r="C24" i="13" s="1"/>
  <c r="H24" i="13" s="1"/>
  <c r="H23" i="13"/>
  <c r="G23" i="13"/>
  <c r="F23" i="13"/>
  <c r="E23" i="13"/>
  <c r="D23" i="13"/>
  <c r="C23" i="13"/>
  <c r="B23" i="13"/>
  <c r="G22" i="13"/>
  <c r="F22" i="13"/>
  <c r="F29" i="13" s="1"/>
  <c r="E22" i="13"/>
  <c r="D22" i="13"/>
  <c r="B22" i="13"/>
  <c r="C22" i="13" s="1"/>
  <c r="H22" i="13" s="1"/>
  <c r="G21" i="13"/>
  <c r="F21" i="13"/>
  <c r="E21" i="13"/>
  <c r="D21" i="13"/>
  <c r="B21" i="13"/>
  <c r="C21" i="13" s="1"/>
  <c r="H21" i="13" s="1"/>
  <c r="G20" i="13"/>
  <c r="F20" i="13"/>
  <c r="E20" i="13"/>
  <c r="D20" i="13"/>
  <c r="D29" i="13" s="1"/>
  <c r="C20" i="13"/>
  <c r="H20" i="13" s="1"/>
  <c r="B20" i="13"/>
  <c r="G19" i="13"/>
  <c r="F19" i="13"/>
  <c r="E19" i="13"/>
  <c r="D19" i="13"/>
  <c r="B19" i="13"/>
  <c r="C19" i="13" s="1"/>
  <c r="H19" i="13" s="1"/>
  <c r="G18" i="13"/>
  <c r="G29" i="13" s="1"/>
  <c r="F18" i="13"/>
  <c r="E18" i="13"/>
  <c r="D18" i="13"/>
  <c r="B18" i="13"/>
  <c r="C18" i="13" s="1"/>
  <c r="B11" i="13"/>
  <c r="B6" i="13" s="1"/>
  <c r="B10" i="13"/>
  <c r="B9" i="13"/>
  <c r="B8" i="13"/>
  <c r="B7" i="13"/>
  <c r="B5" i="13"/>
  <c r="D204" i="12"/>
  <c r="B204" i="12"/>
  <c r="D203" i="12"/>
  <c r="B203" i="12"/>
  <c r="D202" i="12"/>
  <c r="B202" i="12"/>
  <c r="D201" i="12"/>
  <c r="B201" i="12"/>
  <c r="D200" i="12"/>
  <c r="B200" i="12"/>
  <c r="D199" i="12"/>
  <c r="B199" i="12"/>
  <c r="D198" i="12"/>
  <c r="B198" i="12"/>
  <c r="D197" i="12"/>
  <c r="B197" i="12"/>
  <c r="D196" i="12"/>
  <c r="B196" i="12"/>
  <c r="D195" i="12"/>
  <c r="B195" i="12"/>
  <c r="D194" i="12"/>
  <c r="B194" i="12"/>
  <c r="D193" i="12"/>
  <c r="B193" i="12"/>
  <c r="D192" i="12"/>
  <c r="B192" i="12"/>
  <c r="D191" i="12"/>
  <c r="B191" i="12"/>
  <c r="D190" i="12"/>
  <c r="B190" i="12"/>
  <c r="D189" i="12"/>
  <c r="B189" i="12"/>
  <c r="D188" i="12"/>
  <c r="B188" i="12"/>
  <c r="D187" i="12"/>
  <c r="B187" i="12"/>
  <c r="D186" i="12"/>
  <c r="B186" i="12"/>
  <c r="D185" i="12"/>
  <c r="B185" i="12"/>
  <c r="D184" i="12"/>
  <c r="B184" i="12"/>
  <c r="D183" i="12"/>
  <c r="B183" i="12"/>
  <c r="D182" i="12"/>
  <c r="B182" i="12"/>
  <c r="D181" i="12"/>
  <c r="B181" i="12"/>
  <c r="D180" i="12"/>
  <c r="B180" i="12"/>
  <c r="D179" i="12"/>
  <c r="B179" i="12"/>
  <c r="D178" i="12"/>
  <c r="B178" i="12"/>
  <c r="D177" i="12"/>
  <c r="B177" i="12"/>
  <c r="D176" i="12"/>
  <c r="B176" i="12"/>
  <c r="D175" i="12"/>
  <c r="B175" i="12"/>
  <c r="D174" i="12"/>
  <c r="B174" i="12"/>
  <c r="D173" i="12"/>
  <c r="B173" i="12"/>
  <c r="D172" i="12"/>
  <c r="B172" i="12"/>
  <c r="D171" i="12"/>
  <c r="B171" i="12"/>
  <c r="D170" i="12"/>
  <c r="B170" i="12"/>
  <c r="D169" i="12"/>
  <c r="B169" i="12"/>
  <c r="D168" i="12"/>
  <c r="B168" i="12"/>
  <c r="D167" i="12"/>
  <c r="B167" i="12"/>
  <c r="D166" i="12"/>
  <c r="B166" i="12"/>
  <c r="D165" i="12"/>
  <c r="B165" i="12"/>
  <c r="D164" i="12"/>
  <c r="B164" i="12"/>
  <c r="D163" i="12"/>
  <c r="B163" i="12"/>
  <c r="D162" i="12"/>
  <c r="B162" i="12"/>
  <c r="D161" i="12"/>
  <c r="B161" i="12"/>
  <c r="D160" i="12"/>
  <c r="B160" i="12"/>
  <c r="D159" i="12"/>
  <c r="B159" i="12"/>
  <c r="D158" i="12"/>
  <c r="B158" i="12"/>
  <c r="D157" i="12"/>
  <c r="B157" i="12"/>
  <c r="D156" i="12"/>
  <c r="B156" i="12"/>
  <c r="D155" i="12"/>
  <c r="B155" i="12"/>
  <c r="D154" i="12"/>
  <c r="B154" i="12"/>
  <c r="D153" i="12"/>
  <c r="B153" i="12"/>
  <c r="D152" i="12"/>
  <c r="B152" i="12"/>
  <c r="D151" i="12"/>
  <c r="B151" i="12"/>
  <c r="D150" i="12"/>
  <c r="B150" i="12"/>
  <c r="D149" i="12"/>
  <c r="B149" i="12"/>
  <c r="D148" i="12"/>
  <c r="B148" i="12"/>
  <c r="D147" i="12"/>
  <c r="B147" i="12"/>
  <c r="D146" i="12"/>
  <c r="B146" i="12"/>
  <c r="D145" i="12"/>
  <c r="B145" i="12"/>
  <c r="D144" i="12"/>
  <c r="B144" i="12"/>
  <c r="D143" i="12"/>
  <c r="B143" i="12"/>
  <c r="D142" i="12"/>
  <c r="B142" i="12"/>
  <c r="D141" i="12"/>
  <c r="B141" i="12"/>
  <c r="D140" i="12"/>
  <c r="B140" i="12"/>
  <c r="D139" i="12"/>
  <c r="B139" i="12"/>
  <c r="D138" i="12"/>
  <c r="B138" i="12"/>
  <c r="D137" i="12"/>
  <c r="B137" i="12"/>
  <c r="D136" i="12"/>
  <c r="B136" i="12"/>
  <c r="D135" i="12"/>
  <c r="B135" i="12"/>
  <c r="D134" i="12"/>
  <c r="B134" i="12"/>
  <c r="D133" i="12"/>
  <c r="B133" i="12"/>
  <c r="D132" i="12"/>
  <c r="B132" i="12"/>
  <c r="D131" i="12"/>
  <c r="B131" i="12"/>
  <c r="D130" i="12"/>
  <c r="B130" i="12"/>
  <c r="D129" i="12"/>
  <c r="B129" i="12"/>
  <c r="D128" i="12"/>
  <c r="B128" i="12"/>
  <c r="D127" i="12"/>
  <c r="B127" i="12"/>
  <c r="D126" i="12"/>
  <c r="B126" i="12"/>
  <c r="D125" i="12"/>
  <c r="B125" i="12"/>
  <c r="D124" i="12"/>
  <c r="B124" i="12"/>
  <c r="D123" i="12"/>
  <c r="B123" i="12"/>
  <c r="D122" i="12"/>
  <c r="B122" i="12"/>
  <c r="D121" i="12"/>
  <c r="B121" i="12"/>
  <c r="D120" i="12"/>
  <c r="B120" i="12"/>
  <c r="D119" i="12"/>
  <c r="B119" i="12"/>
  <c r="D118" i="12"/>
  <c r="B118" i="12"/>
  <c r="D117" i="12"/>
  <c r="B117" i="12"/>
  <c r="D116" i="12"/>
  <c r="B116" i="12"/>
  <c r="D115" i="12"/>
  <c r="B115" i="12"/>
  <c r="D114" i="12"/>
  <c r="B114" i="12"/>
  <c r="D113" i="12"/>
  <c r="B113" i="12"/>
  <c r="D112" i="12"/>
  <c r="B112" i="12"/>
  <c r="D111" i="12"/>
  <c r="B111" i="12"/>
  <c r="D110" i="12"/>
  <c r="B110" i="12"/>
  <c r="D109" i="12"/>
  <c r="B109" i="12"/>
  <c r="D108" i="12"/>
  <c r="B108" i="12"/>
  <c r="D107" i="12"/>
  <c r="B107" i="12"/>
  <c r="D106" i="12"/>
  <c r="B106" i="12"/>
  <c r="D105" i="12"/>
  <c r="B105" i="12"/>
  <c r="D104" i="12"/>
  <c r="B104" i="12"/>
  <c r="D103" i="12"/>
  <c r="B103" i="12"/>
  <c r="D102" i="12"/>
  <c r="B102" i="12"/>
  <c r="D101" i="12"/>
  <c r="B101" i="12"/>
  <c r="D100" i="12"/>
  <c r="B100" i="12"/>
  <c r="D99" i="12"/>
  <c r="B99" i="12"/>
  <c r="D98" i="12"/>
  <c r="B98" i="12"/>
  <c r="D97" i="12"/>
  <c r="B97" i="12"/>
  <c r="D96" i="12"/>
  <c r="B96" i="12"/>
  <c r="D95" i="12"/>
  <c r="B95" i="12"/>
  <c r="D94" i="12"/>
  <c r="B94" i="12"/>
  <c r="D93" i="12"/>
  <c r="B93" i="12"/>
  <c r="D92" i="12"/>
  <c r="B92" i="12"/>
  <c r="D91" i="12"/>
  <c r="B91" i="12"/>
  <c r="D90" i="12"/>
  <c r="B90" i="12"/>
  <c r="D89" i="12"/>
  <c r="B89" i="12"/>
  <c r="D88" i="12"/>
  <c r="B88" i="12"/>
  <c r="D87" i="12"/>
  <c r="B87" i="12"/>
  <c r="D86" i="12"/>
  <c r="B86" i="12"/>
  <c r="D85" i="12"/>
  <c r="B85" i="12"/>
  <c r="D84" i="12"/>
  <c r="B84" i="12"/>
  <c r="D83" i="12"/>
  <c r="B83" i="12"/>
  <c r="D82" i="12"/>
  <c r="B82" i="12"/>
  <c r="D81" i="12"/>
  <c r="B81" i="12"/>
  <c r="D80" i="12"/>
  <c r="B80" i="12"/>
  <c r="D79" i="12"/>
  <c r="B79" i="12"/>
  <c r="D78" i="12"/>
  <c r="B78" i="12"/>
  <c r="D77" i="12"/>
  <c r="B77" i="12"/>
  <c r="D76" i="12"/>
  <c r="B76" i="12"/>
  <c r="D75" i="12"/>
  <c r="B75" i="12"/>
  <c r="D74" i="12"/>
  <c r="B74" i="12"/>
  <c r="D73" i="12"/>
  <c r="B73" i="12"/>
  <c r="D72" i="12"/>
  <c r="B72" i="12"/>
  <c r="D71" i="12"/>
  <c r="B71" i="12"/>
  <c r="D70" i="12"/>
  <c r="B70" i="12"/>
  <c r="D69" i="12"/>
  <c r="B69" i="12"/>
  <c r="D68" i="12"/>
  <c r="B68" i="12"/>
  <c r="D67" i="12"/>
  <c r="B67" i="12"/>
  <c r="D66" i="12"/>
  <c r="B66" i="12"/>
  <c r="D65" i="12"/>
  <c r="B65" i="12"/>
  <c r="D64" i="12"/>
  <c r="B64" i="12"/>
  <c r="D63" i="12"/>
  <c r="B63" i="12"/>
  <c r="D62" i="12"/>
  <c r="B62" i="12"/>
  <c r="D61" i="12"/>
  <c r="B61" i="12"/>
  <c r="D60" i="12"/>
  <c r="B60" i="12"/>
  <c r="D59" i="12"/>
  <c r="B59" i="12"/>
  <c r="D58" i="12"/>
  <c r="B58" i="12"/>
  <c r="D57" i="12"/>
  <c r="B57" i="12"/>
  <c r="D56" i="12"/>
  <c r="B56" i="12"/>
  <c r="D55" i="12"/>
  <c r="B55" i="12"/>
  <c r="D54" i="12"/>
  <c r="B54" i="12"/>
  <c r="D53" i="12"/>
  <c r="B53" i="12"/>
  <c r="D52" i="12"/>
  <c r="B52" i="12"/>
  <c r="D51" i="12"/>
  <c r="B51" i="12"/>
  <c r="D50" i="12"/>
  <c r="B50" i="12"/>
  <c r="D49" i="12"/>
  <c r="B49" i="12"/>
  <c r="D48" i="12"/>
  <c r="B48" i="12"/>
  <c r="D47" i="12"/>
  <c r="B47" i="12"/>
  <c r="D46" i="12"/>
  <c r="B46" i="12"/>
  <c r="D45" i="12"/>
  <c r="B45" i="12"/>
  <c r="D44" i="12"/>
  <c r="B44" i="12"/>
  <c r="D43" i="12"/>
  <c r="B43" i="12"/>
  <c r="D42" i="12"/>
  <c r="B42" i="12"/>
  <c r="D41" i="12"/>
  <c r="B41" i="12"/>
  <c r="D40" i="12"/>
  <c r="B40" i="12"/>
  <c r="D39" i="12"/>
  <c r="B39" i="12"/>
  <c r="D38" i="12"/>
  <c r="B38" i="12"/>
  <c r="D37" i="12"/>
  <c r="B37" i="12"/>
  <c r="D36" i="12"/>
  <c r="B36" i="12"/>
  <c r="D35" i="12"/>
  <c r="B35" i="12"/>
  <c r="D34" i="12"/>
  <c r="B34" i="12"/>
  <c r="D33" i="12"/>
  <c r="B33" i="12"/>
  <c r="D32" i="12"/>
  <c r="B32" i="12"/>
  <c r="D31" i="12"/>
  <c r="B31" i="12"/>
  <c r="D30" i="12"/>
  <c r="B30" i="12"/>
  <c r="D29" i="12"/>
  <c r="B29" i="12"/>
  <c r="D28" i="12"/>
  <c r="B28" i="12"/>
  <c r="D27" i="12"/>
  <c r="B27" i="12"/>
  <c r="D26" i="12"/>
  <c r="B26" i="12"/>
  <c r="D25" i="12"/>
  <c r="B25" i="12"/>
  <c r="D24" i="12"/>
  <c r="B24" i="12"/>
  <c r="D23" i="12"/>
  <c r="B23" i="12"/>
  <c r="D22" i="12"/>
  <c r="B22" i="12"/>
  <c r="D21" i="12"/>
  <c r="B21" i="12"/>
  <c r="D20" i="12"/>
  <c r="B20" i="12"/>
  <c r="D19" i="12"/>
  <c r="B19" i="12"/>
  <c r="D18" i="12"/>
  <c r="B18" i="12"/>
  <c r="D17" i="12"/>
  <c r="B17" i="12"/>
  <c r="D16" i="12"/>
  <c r="B16" i="12"/>
  <c r="D15" i="12"/>
  <c r="B15" i="12"/>
  <c r="J14" i="12"/>
  <c r="L14" i="12" s="1"/>
  <c r="D14" i="12"/>
  <c r="B14" i="12"/>
  <c r="J13" i="12"/>
  <c r="M13" i="12" s="1"/>
  <c r="D13" i="12"/>
  <c r="B13" i="12"/>
  <c r="J12" i="12"/>
  <c r="M12" i="12" s="1"/>
  <c r="D12" i="12"/>
  <c r="B12" i="12"/>
  <c r="J11" i="12"/>
  <c r="M11" i="12" s="1"/>
  <c r="D11" i="12"/>
  <c r="B11" i="12"/>
  <c r="L10" i="12"/>
  <c r="J10" i="12"/>
  <c r="M10" i="12" s="1"/>
  <c r="D10" i="12"/>
  <c r="B10" i="12"/>
  <c r="J9" i="12"/>
  <c r="M9" i="12" s="1"/>
  <c r="D9" i="12"/>
  <c r="B9" i="12"/>
  <c r="J8" i="12"/>
  <c r="K8" i="12" s="1"/>
  <c r="D8" i="12"/>
  <c r="B8" i="12"/>
  <c r="M7" i="12"/>
  <c r="J7" i="12"/>
  <c r="L7" i="12" s="1"/>
  <c r="D7" i="12"/>
  <c r="B7" i="12"/>
  <c r="J6" i="12"/>
  <c r="L6" i="12" s="1"/>
  <c r="D6" i="12"/>
  <c r="B6" i="12"/>
  <c r="J5" i="12"/>
  <c r="M5" i="12" s="1"/>
  <c r="D5" i="12"/>
  <c r="B5" i="12"/>
  <c r="P154" i="11"/>
  <c r="D154" i="11"/>
  <c r="C154" i="11"/>
  <c r="P153" i="11"/>
  <c r="D153" i="11"/>
  <c r="C153" i="11"/>
  <c r="P152" i="11"/>
  <c r="D152" i="11"/>
  <c r="C152" i="11"/>
  <c r="P151" i="11"/>
  <c r="D151" i="11"/>
  <c r="C151" i="11"/>
  <c r="P150" i="11"/>
  <c r="D150" i="11"/>
  <c r="C150" i="11"/>
  <c r="P149" i="11"/>
  <c r="D149" i="11"/>
  <c r="C149" i="11"/>
  <c r="P148" i="11"/>
  <c r="D148" i="11"/>
  <c r="C148" i="11"/>
  <c r="P147" i="11"/>
  <c r="D147" i="11"/>
  <c r="C147" i="11"/>
  <c r="P146" i="11"/>
  <c r="D146" i="11"/>
  <c r="C146" i="11"/>
  <c r="P145" i="11"/>
  <c r="D145" i="11"/>
  <c r="C145" i="11"/>
  <c r="P144" i="11"/>
  <c r="D144" i="11"/>
  <c r="C144" i="11"/>
  <c r="P143" i="11"/>
  <c r="D143" i="11"/>
  <c r="C143" i="11"/>
  <c r="P142" i="11"/>
  <c r="D142" i="11"/>
  <c r="C142" i="11"/>
  <c r="P141" i="11"/>
  <c r="D141" i="11"/>
  <c r="C141" i="11"/>
  <c r="P140" i="11"/>
  <c r="D140" i="11"/>
  <c r="C140" i="11"/>
  <c r="P139" i="11"/>
  <c r="D139" i="11"/>
  <c r="C139" i="11"/>
  <c r="P138" i="11"/>
  <c r="D138" i="11"/>
  <c r="C138" i="11"/>
  <c r="P137" i="11"/>
  <c r="D137" i="11"/>
  <c r="C137" i="11"/>
  <c r="P136" i="11"/>
  <c r="D136" i="11"/>
  <c r="C136" i="11"/>
  <c r="P135" i="11"/>
  <c r="D135" i="11"/>
  <c r="C135" i="11"/>
  <c r="P134" i="11"/>
  <c r="D134" i="11"/>
  <c r="C134" i="11"/>
  <c r="P133" i="11"/>
  <c r="D133" i="11"/>
  <c r="C133" i="11"/>
  <c r="P132" i="11"/>
  <c r="D132" i="11"/>
  <c r="C132" i="11"/>
  <c r="P131" i="11"/>
  <c r="D131" i="11"/>
  <c r="C131" i="11"/>
  <c r="P130" i="11"/>
  <c r="D130" i="11"/>
  <c r="C130" i="11"/>
  <c r="P129" i="11"/>
  <c r="D129" i="11"/>
  <c r="C129" i="11"/>
  <c r="P128" i="11"/>
  <c r="D128" i="11"/>
  <c r="C128" i="11"/>
  <c r="P127" i="11"/>
  <c r="D127" i="11"/>
  <c r="C127" i="11"/>
  <c r="P126" i="11"/>
  <c r="D126" i="11"/>
  <c r="C126" i="11"/>
  <c r="P125" i="11"/>
  <c r="D125" i="11"/>
  <c r="C125" i="11"/>
  <c r="P124" i="11"/>
  <c r="D124" i="11"/>
  <c r="C124" i="11"/>
  <c r="P123" i="11"/>
  <c r="D123" i="11"/>
  <c r="C123" i="11"/>
  <c r="P122" i="11"/>
  <c r="D122" i="11"/>
  <c r="C122" i="11"/>
  <c r="P121" i="11"/>
  <c r="D121" i="11"/>
  <c r="C121" i="11"/>
  <c r="P120" i="11"/>
  <c r="D120" i="11"/>
  <c r="C120" i="11"/>
  <c r="P119" i="11"/>
  <c r="D119" i="11"/>
  <c r="C119" i="11"/>
  <c r="P118" i="11"/>
  <c r="D118" i="11"/>
  <c r="C118" i="11"/>
  <c r="P117" i="11"/>
  <c r="D117" i="11"/>
  <c r="C117" i="11"/>
  <c r="P116" i="11"/>
  <c r="D116" i="11"/>
  <c r="C116" i="11"/>
  <c r="P115" i="11"/>
  <c r="D115" i="11"/>
  <c r="C115" i="11"/>
  <c r="P114" i="11"/>
  <c r="D114" i="11"/>
  <c r="C114" i="11"/>
  <c r="P113" i="11"/>
  <c r="D113" i="11"/>
  <c r="C113" i="11"/>
  <c r="P112" i="11"/>
  <c r="D112" i="11"/>
  <c r="C112" i="11"/>
  <c r="P111" i="11"/>
  <c r="D111" i="11"/>
  <c r="C111" i="11"/>
  <c r="P110" i="11"/>
  <c r="D110" i="11"/>
  <c r="C110" i="11"/>
  <c r="P109" i="11"/>
  <c r="D109" i="11"/>
  <c r="C109" i="11"/>
  <c r="P108" i="11"/>
  <c r="D108" i="11"/>
  <c r="C108" i="11"/>
  <c r="P107" i="11"/>
  <c r="D107" i="11"/>
  <c r="C107" i="11"/>
  <c r="P106" i="11"/>
  <c r="D106" i="11"/>
  <c r="C106" i="11"/>
  <c r="P105" i="11"/>
  <c r="D105" i="11"/>
  <c r="C105" i="11"/>
  <c r="P104" i="11"/>
  <c r="D104" i="11"/>
  <c r="C104" i="11"/>
  <c r="P103" i="11"/>
  <c r="D103" i="11"/>
  <c r="C103" i="11"/>
  <c r="P102" i="11"/>
  <c r="D102" i="11"/>
  <c r="C102" i="11"/>
  <c r="P101" i="11"/>
  <c r="D101" i="11"/>
  <c r="C101" i="11"/>
  <c r="P100" i="11"/>
  <c r="D100" i="11"/>
  <c r="C100" i="11"/>
  <c r="P99" i="11"/>
  <c r="D99" i="11"/>
  <c r="C99" i="11"/>
  <c r="P98" i="11"/>
  <c r="D98" i="11"/>
  <c r="C98" i="11"/>
  <c r="P97" i="11"/>
  <c r="D97" i="11"/>
  <c r="C97" i="11"/>
  <c r="P96" i="11"/>
  <c r="D96" i="11"/>
  <c r="C96" i="11"/>
  <c r="P95" i="11"/>
  <c r="D95" i="11"/>
  <c r="C95" i="11"/>
  <c r="P94" i="11"/>
  <c r="D94" i="11"/>
  <c r="C94" i="11"/>
  <c r="P93" i="11"/>
  <c r="D93" i="11"/>
  <c r="C93" i="11"/>
  <c r="P92" i="11"/>
  <c r="D92" i="11"/>
  <c r="C92" i="11"/>
  <c r="P91" i="11"/>
  <c r="D91" i="11"/>
  <c r="C91" i="11"/>
  <c r="P90" i="11"/>
  <c r="D90" i="11"/>
  <c r="C90" i="11"/>
  <c r="P89" i="11"/>
  <c r="D89" i="11"/>
  <c r="C89" i="11"/>
  <c r="P88" i="11"/>
  <c r="D88" i="11"/>
  <c r="C88" i="11"/>
  <c r="P87" i="11"/>
  <c r="D87" i="11"/>
  <c r="C87" i="11"/>
  <c r="P86" i="11"/>
  <c r="D86" i="11"/>
  <c r="C86" i="11"/>
  <c r="P85" i="11"/>
  <c r="D85" i="11"/>
  <c r="C85" i="11"/>
  <c r="P84" i="11"/>
  <c r="D84" i="11"/>
  <c r="C84" i="11"/>
  <c r="P83" i="11"/>
  <c r="D83" i="11"/>
  <c r="C83" i="11"/>
  <c r="P82" i="11"/>
  <c r="D82" i="11"/>
  <c r="C82" i="11"/>
  <c r="P81" i="11"/>
  <c r="D81" i="11"/>
  <c r="C81" i="11"/>
  <c r="P80" i="11"/>
  <c r="D80" i="11"/>
  <c r="C80" i="11"/>
  <c r="P79" i="11"/>
  <c r="D79" i="11"/>
  <c r="C79" i="11"/>
  <c r="P78" i="11"/>
  <c r="D78" i="11"/>
  <c r="C78" i="11"/>
  <c r="P77" i="11"/>
  <c r="D77" i="11"/>
  <c r="C77" i="11"/>
  <c r="P76" i="11"/>
  <c r="D76" i="11"/>
  <c r="C76" i="11"/>
  <c r="P75" i="11"/>
  <c r="D75" i="11"/>
  <c r="C75" i="11"/>
  <c r="P74" i="11"/>
  <c r="D74" i="11"/>
  <c r="C74" i="11"/>
  <c r="P73" i="11"/>
  <c r="D73" i="11"/>
  <c r="C73" i="11"/>
  <c r="P72" i="11"/>
  <c r="D72" i="11"/>
  <c r="C72" i="11"/>
  <c r="P71" i="11"/>
  <c r="D71" i="11"/>
  <c r="C71" i="11"/>
  <c r="P70" i="11"/>
  <c r="D70" i="11"/>
  <c r="C70" i="11"/>
  <c r="P69" i="11"/>
  <c r="D69" i="11"/>
  <c r="C69" i="11"/>
  <c r="P68" i="11"/>
  <c r="D68" i="11"/>
  <c r="C68" i="11"/>
  <c r="P67" i="11"/>
  <c r="D67" i="11"/>
  <c r="C67" i="11"/>
  <c r="P66" i="11"/>
  <c r="D66" i="11"/>
  <c r="C66" i="11"/>
  <c r="P65" i="11"/>
  <c r="D65" i="11"/>
  <c r="C65" i="11"/>
  <c r="P64" i="11"/>
  <c r="D64" i="11"/>
  <c r="C64" i="11"/>
  <c r="P63" i="11"/>
  <c r="D63" i="11"/>
  <c r="C63" i="11"/>
  <c r="P62" i="11"/>
  <c r="D62" i="11"/>
  <c r="C62" i="11"/>
  <c r="P61" i="11"/>
  <c r="D61" i="11"/>
  <c r="C61" i="11"/>
  <c r="P60" i="11"/>
  <c r="D60" i="11"/>
  <c r="C60" i="11"/>
  <c r="P59" i="11"/>
  <c r="D59" i="11"/>
  <c r="C59" i="11"/>
  <c r="P58" i="11"/>
  <c r="D58" i="11"/>
  <c r="C58" i="11"/>
  <c r="P57" i="11"/>
  <c r="D57" i="11"/>
  <c r="C57" i="11"/>
  <c r="P56" i="11"/>
  <c r="D56" i="11"/>
  <c r="C56" i="11"/>
  <c r="P55" i="11"/>
  <c r="D55" i="11"/>
  <c r="C55" i="11"/>
  <c r="P54" i="11"/>
  <c r="D54" i="11"/>
  <c r="C54" i="11"/>
  <c r="P53" i="11"/>
  <c r="D53" i="11"/>
  <c r="C53" i="11"/>
  <c r="P52" i="11"/>
  <c r="D52" i="11"/>
  <c r="C52" i="11"/>
  <c r="P51" i="11"/>
  <c r="D51" i="11"/>
  <c r="C51" i="11"/>
  <c r="P50" i="11"/>
  <c r="D50" i="11"/>
  <c r="C50" i="11"/>
  <c r="P49" i="11"/>
  <c r="D49" i="11"/>
  <c r="C49" i="11"/>
  <c r="P48" i="11"/>
  <c r="D48" i="11"/>
  <c r="C48" i="11"/>
  <c r="P47" i="11"/>
  <c r="D47" i="11"/>
  <c r="C47" i="11"/>
  <c r="P46" i="11"/>
  <c r="D46" i="11"/>
  <c r="C46" i="11"/>
  <c r="P45" i="11"/>
  <c r="D45" i="11"/>
  <c r="C45" i="11"/>
  <c r="P44" i="11"/>
  <c r="D44" i="11"/>
  <c r="C44" i="11"/>
  <c r="P43" i="11"/>
  <c r="D43" i="11"/>
  <c r="C43" i="11"/>
  <c r="P42" i="11"/>
  <c r="D42" i="11"/>
  <c r="C42" i="11"/>
  <c r="P41" i="11"/>
  <c r="D41" i="11"/>
  <c r="C41" i="11"/>
  <c r="P40" i="11"/>
  <c r="D40" i="11"/>
  <c r="C40" i="11"/>
  <c r="P39" i="11"/>
  <c r="D39" i="11"/>
  <c r="C39" i="11"/>
  <c r="P38" i="11"/>
  <c r="D38" i="11"/>
  <c r="C38" i="11"/>
  <c r="P37" i="11"/>
  <c r="D37" i="11"/>
  <c r="C37" i="11"/>
  <c r="P36" i="11"/>
  <c r="D36" i="11"/>
  <c r="C36" i="11"/>
  <c r="P35" i="11"/>
  <c r="D35" i="11"/>
  <c r="C35" i="11"/>
  <c r="P34" i="11"/>
  <c r="D34" i="11"/>
  <c r="C34" i="11"/>
  <c r="P33" i="11"/>
  <c r="D33" i="11"/>
  <c r="C33" i="11"/>
  <c r="P32" i="11"/>
  <c r="D32" i="11"/>
  <c r="C32" i="11"/>
  <c r="P31" i="11"/>
  <c r="D31" i="11"/>
  <c r="C31" i="11"/>
  <c r="P30" i="11"/>
  <c r="D30" i="11"/>
  <c r="C30" i="11"/>
  <c r="P29" i="11"/>
  <c r="D29" i="11"/>
  <c r="C29" i="11"/>
  <c r="P28" i="11"/>
  <c r="D28" i="11"/>
  <c r="C28" i="11"/>
  <c r="P27" i="11"/>
  <c r="D27" i="11"/>
  <c r="C27" i="11"/>
  <c r="P26" i="11"/>
  <c r="D26" i="11"/>
  <c r="C26" i="11"/>
  <c r="P25" i="11"/>
  <c r="D25" i="11"/>
  <c r="C25" i="11"/>
  <c r="P24" i="11"/>
  <c r="D24" i="11"/>
  <c r="C24" i="11"/>
  <c r="P23" i="11"/>
  <c r="D23" i="11"/>
  <c r="C23" i="11"/>
  <c r="P22" i="11"/>
  <c r="D22" i="11"/>
  <c r="C22" i="11"/>
  <c r="P21" i="11"/>
  <c r="D21" i="11"/>
  <c r="C21" i="11"/>
  <c r="P20" i="11"/>
  <c r="D20" i="11"/>
  <c r="C20" i="11"/>
  <c r="P19" i="11"/>
  <c r="D19" i="11"/>
  <c r="C19" i="11"/>
  <c r="P18" i="11"/>
  <c r="D18" i="11"/>
  <c r="C18" i="11"/>
  <c r="P17" i="11"/>
  <c r="D17" i="11"/>
  <c r="C17" i="11"/>
  <c r="P16" i="11"/>
  <c r="D16" i="11"/>
  <c r="C16" i="11"/>
  <c r="P15" i="11"/>
  <c r="D15" i="11"/>
  <c r="C15" i="11"/>
  <c r="P14" i="11"/>
  <c r="D14" i="11"/>
  <c r="C14" i="11"/>
  <c r="P13" i="11"/>
  <c r="D13" i="11"/>
  <c r="C13" i="11"/>
  <c r="P12" i="11"/>
  <c r="D12" i="11"/>
  <c r="C12" i="11"/>
  <c r="P11" i="11"/>
  <c r="D11" i="11"/>
  <c r="C11" i="11"/>
  <c r="P10" i="11"/>
  <c r="D10" i="11"/>
  <c r="C10" i="11"/>
  <c r="P9" i="11"/>
  <c r="D9" i="11"/>
  <c r="C9" i="11"/>
  <c r="P8" i="11"/>
  <c r="D8" i="11"/>
  <c r="C8" i="11"/>
  <c r="P7" i="11"/>
  <c r="D7" i="11"/>
  <c r="C7" i="11"/>
  <c r="P6" i="11"/>
  <c r="D6" i="11"/>
  <c r="C6" i="11"/>
  <c r="P5" i="11"/>
  <c r="D5" i="11"/>
  <c r="C5" i="11"/>
  <c r="E23" i="10"/>
  <c r="E22" i="10"/>
  <c r="E21" i="10"/>
  <c r="E20" i="10"/>
  <c r="E19" i="10"/>
  <c r="E18" i="10"/>
  <c r="F14" i="10"/>
  <c r="F13" i="10"/>
  <c r="F12" i="10"/>
  <c r="F11" i="10"/>
  <c r="F10" i="10"/>
  <c r="F9" i="10"/>
  <c r="F8" i="10"/>
  <c r="F7" i="10"/>
  <c r="F6" i="10"/>
  <c r="F5" i="10"/>
  <c r="B17" i="9"/>
  <c r="B44" i="13" s="1"/>
  <c r="B16" i="9"/>
  <c r="B43" i="13" s="1"/>
  <c r="B15" i="9"/>
  <c r="B42" i="13" s="1"/>
  <c r="G10" i="9"/>
  <c r="D10" i="9"/>
  <c r="C10" i="9"/>
  <c r="G9" i="9"/>
  <c r="D9" i="9"/>
  <c r="C9" i="9"/>
  <c r="G8" i="9"/>
  <c r="D8" i="9"/>
  <c r="C8" i="9"/>
  <c r="G7" i="9"/>
  <c r="D7" i="9"/>
  <c r="C7" i="9"/>
  <c r="G6" i="9"/>
  <c r="D6" i="9"/>
  <c r="C6" i="9"/>
  <c r="G5" i="9"/>
  <c r="D5" i="9"/>
  <c r="C5" i="9"/>
  <c r="W104" i="8"/>
  <c r="Q104" i="8"/>
  <c r="F104" i="8"/>
  <c r="W103" i="8"/>
  <c r="Q103" i="8"/>
  <c r="F103" i="8"/>
  <c r="W102" i="8"/>
  <c r="Q102" i="8"/>
  <c r="F102" i="8"/>
  <c r="W101" i="8"/>
  <c r="Q101" i="8"/>
  <c r="F101" i="8"/>
  <c r="W100" i="8"/>
  <c r="Q100" i="8"/>
  <c r="F100" i="8"/>
  <c r="W99" i="8"/>
  <c r="Q99" i="8"/>
  <c r="F99" i="8"/>
  <c r="W98" i="8"/>
  <c r="Q98" i="8"/>
  <c r="F98" i="8"/>
  <c r="W97" i="8"/>
  <c r="Q97" i="8"/>
  <c r="G97" i="8"/>
  <c r="F97" i="8"/>
  <c r="W96" i="8"/>
  <c r="Q96" i="8"/>
  <c r="F96" i="8"/>
  <c r="W95" i="8"/>
  <c r="Q95" i="8"/>
  <c r="G95" i="8"/>
  <c r="F95" i="8"/>
  <c r="W94" i="8"/>
  <c r="Q94" i="8"/>
  <c r="F94" i="8"/>
  <c r="W93" i="8"/>
  <c r="Q93" i="8"/>
  <c r="G93" i="8"/>
  <c r="F93" i="8"/>
  <c r="W92" i="8"/>
  <c r="Q92" i="8"/>
  <c r="F92" i="8"/>
  <c r="W91" i="8"/>
  <c r="Q91" i="8"/>
  <c r="F91" i="8"/>
  <c r="W90" i="8"/>
  <c r="Q90" i="8"/>
  <c r="F90" i="8"/>
  <c r="W89" i="8"/>
  <c r="Q89" i="8"/>
  <c r="F89" i="8"/>
  <c r="W88" i="8"/>
  <c r="Q88" i="8"/>
  <c r="F88" i="8"/>
  <c r="G88" i="8" s="1"/>
  <c r="W87" i="8"/>
  <c r="Q87" i="8"/>
  <c r="F87" i="8"/>
  <c r="W86" i="8"/>
  <c r="Q86" i="8"/>
  <c r="F86" i="8"/>
  <c r="G86" i="8" s="1"/>
  <c r="W85" i="8"/>
  <c r="Q85" i="8"/>
  <c r="F85" i="8"/>
  <c r="W84" i="8"/>
  <c r="Q84" i="8"/>
  <c r="F84" i="8"/>
  <c r="G84" i="8" s="1"/>
  <c r="W83" i="8"/>
  <c r="Q83" i="8"/>
  <c r="F83" i="8"/>
  <c r="W82" i="8"/>
  <c r="Q82" i="8"/>
  <c r="F82" i="8"/>
  <c r="W81" i="8"/>
  <c r="Q81" i="8"/>
  <c r="F81" i="8"/>
  <c r="W80" i="8"/>
  <c r="Q80" i="8"/>
  <c r="F80" i="8"/>
  <c r="W79" i="8"/>
  <c r="Q79" i="8"/>
  <c r="F79" i="8"/>
  <c r="W78" i="8"/>
  <c r="Q78" i="8"/>
  <c r="F78" i="8"/>
  <c r="W77" i="8"/>
  <c r="Q77" i="8"/>
  <c r="F77" i="8"/>
  <c r="W76" i="8"/>
  <c r="Q76" i="8"/>
  <c r="F76" i="8"/>
  <c r="W75" i="8"/>
  <c r="Q75" i="8"/>
  <c r="F75" i="8"/>
  <c r="W74" i="8"/>
  <c r="Q74" i="8"/>
  <c r="F74" i="8"/>
  <c r="W73" i="8"/>
  <c r="Q73" i="8"/>
  <c r="F73" i="8"/>
  <c r="W72" i="8"/>
  <c r="Q72" i="8"/>
  <c r="F72" i="8"/>
  <c r="W71" i="8"/>
  <c r="Q71" i="8"/>
  <c r="F71" i="8"/>
  <c r="W70" i="8"/>
  <c r="Q70" i="8"/>
  <c r="F70" i="8"/>
  <c r="W69" i="8"/>
  <c r="Q69" i="8"/>
  <c r="F69" i="8"/>
  <c r="W68" i="8"/>
  <c r="Q68" i="8"/>
  <c r="F68" i="8"/>
  <c r="W67" i="8"/>
  <c r="Q67" i="8"/>
  <c r="F67" i="8"/>
  <c r="W66" i="8"/>
  <c r="Q66" i="8"/>
  <c r="F66" i="8"/>
  <c r="W65" i="8"/>
  <c r="Q65" i="8"/>
  <c r="G65" i="8"/>
  <c r="F65" i="8"/>
  <c r="W64" i="8"/>
  <c r="Q64" i="8"/>
  <c r="F64" i="8"/>
  <c r="W63" i="8"/>
  <c r="Q63" i="8"/>
  <c r="G63" i="8"/>
  <c r="F63" i="8"/>
  <c r="W62" i="8"/>
  <c r="Q62" i="8"/>
  <c r="F62" i="8"/>
  <c r="W61" i="8"/>
  <c r="Q61" i="8"/>
  <c r="G61" i="8"/>
  <c r="F61" i="8"/>
  <c r="W60" i="8"/>
  <c r="Q60" i="8"/>
  <c r="F60" i="8"/>
  <c r="W59" i="8"/>
  <c r="Q59" i="8"/>
  <c r="F59" i="8"/>
  <c r="W58" i="8"/>
  <c r="Q58" i="8"/>
  <c r="F58" i="8"/>
  <c r="W57" i="8"/>
  <c r="Q57" i="8"/>
  <c r="F57" i="8"/>
  <c r="W56" i="8"/>
  <c r="Q56" i="8"/>
  <c r="F56" i="8"/>
  <c r="G56" i="8" s="1"/>
  <c r="W55" i="8"/>
  <c r="Q55" i="8"/>
  <c r="F55" i="8"/>
  <c r="W54" i="8"/>
  <c r="Q54" i="8"/>
  <c r="F54" i="8"/>
  <c r="G54" i="8" s="1"/>
  <c r="W53" i="8"/>
  <c r="Q53" i="8"/>
  <c r="F53" i="8"/>
  <c r="W52" i="8"/>
  <c r="Q52" i="8"/>
  <c r="F52" i="8"/>
  <c r="G52" i="8" s="1"/>
  <c r="W51" i="8"/>
  <c r="Q51" i="8"/>
  <c r="F51" i="8"/>
  <c r="W50" i="8"/>
  <c r="Q50" i="8"/>
  <c r="F50" i="8"/>
  <c r="W49" i="8"/>
  <c r="Q49" i="8"/>
  <c r="F49" i="8"/>
  <c r="W48" i="8"/>
  <c r="Q48" i="8"/>
  <c r="F48" i="8"/>
  <c r="W47" i="8"/>
  <c r="Q47" i="8"/>
  <c r="F47" i="8"/>
  <c r="W46" i="8"/>
  <c r="Q46" i="8"/>
  <c r="F46" i="8"/>
  <c r="W45" i="8"/>
  <c r="Q45" i="8"/>
  <c r="F45" i="8"/>
  <c r="W44" i="8"/>
  <c r="Q44" i="8"/>
  <c r="F44" i="8"/>
  <c r="W43" i="8"/>
  <c r="Q43" i="8"/>
  <c r="F43" i="8"/>
  <c r="W42" i="8"/>
  <c r="Q42" i="8"/>
  <c r="F42" i="8"/>
  <c r="W41" i="8"/>
  <c r="Q41" i="8"/>
  <c r="F41" i="8"/>
  <c r="W40" i="8"/>
  <c r="Q40" i="8"/>
  <c r="F40" i="8"/>
  <c r="W39" i="8"/>
  <c r="Q39" i="8"/>
  <c r="F39" i="8"/>
  <c r="W38" i="8"/>
  <c r="Q38" i="8"/>
  <c r="F38" i="8"/>
  <c r="W37" i="8"/>
  <c r="Q37" i="8"/>
  <c r="F37" i="8"/>
  <c r="W36" i="8"/>
  <c r="Q36" i="8"/>
  <c r="F36" i="8"/>
  <c r="W35" i="8"/>
  <c r="Q35" i="8"/>
  <c r="F35" i="8"/>
  <c r="W34" i="8"/>
  <c r="Q34" i="8"/>
  <c r="F34" i="8"/>
  <c r="W33" i="8"/>
  <c r="Q33" i="8"/>
  <c r="G33" i="8"/>
  <c r="F33" i="8"/>
  <c r="W32" i="8"/>
  <c r="Q32" i="8"/>
  <c r="F32" i="8"/>
  <c r="W31" i="8"/>
  <c r="Q31" i="8"/>
  <c r="G31" i="8"/>
  <c r="F31" i="8"/>
  <c r="W30" i="8"/>
  <c r="Q30" i="8"/>
  <c r="F30" i="8"/>
  <c r="W29" i="8"/>
  <c r="Q29" i="8"/>
  <c r="G29" i="8"/>
  <c r="F29" i="8"/>
  <c r="W28" i="8"/>
  <c r="Q28" i="8"/>
  <c r="F28" i="8"/>
  <c r="W27" i="8"/>
  <c r="Q27" i="8"/>
  <c r="F27" i="8"/>
  <c r="W26" i="8"/>
  <c r="Q26" i="8"/>
  <c r="F26" i="8"/>
  <c r="W25" i="8"/>
  <c r="Q25" i="8"/>
  <c r="F25" i="8"/>
  <c r="W24" i="8"/>
  <c r="Q24" i="8"/>
  <c r="F24" i="8"/>
  <c r="G24" i="8" s="1"/>
  <c r="W23" i="8"/>
  <c r="Q23" i="8"/>
  <c r="F23" i="8"/>
  <c r="W22" i="8"/>
  <c r="Q22" i="8"/>
  <c r="F22" i="8"/>
  <c r="G22" i="8" s="1"/>
  <c r="W21" i="8"/>
  <c r="Q21" i="8"/>
  <c r="F21" i="8"/>
  <c r="W20" i="8"/>
  <c r="Q20" i="8"/>
  <c r="F20" i="8"/>
  <c r="G20" i="8" s="1"/>
  <c r="W19" i="8"/>
  <c r="Q19" i="8"/>
  <c r="F19" i="8"/>
  <c r="W18" i="8"/>
  <c r="Q18" i="8"/>
  <c r="F18" i="8"/>
  <c r="W17" i="8"/>
  <c r="Q17" i="8"/>
  <c r="F17" i="8"/>
  <c r="W16" i="8"/>
  <c r="Q16" i="8"/>
  <c r="F16" i="8"/>
  <c r="W15" i="8"/>
  <c r="Q15" i="8"/>
  <c r="F15" i="8"/>
  <c r="W14" i="8"/>
  <c r="Q14" i="8"/>
  <c r="F14" i="8"/>
  <c r="W13" i="8"/>
  <c r="Q13" i="8"/>
  <c r="F13" i="8"/>
  <c r="W12" i="8"/>
  <c r="Q12" i="8"/>
  <c r="F12" i="8"/>
  <c r="W11" i="8"/>
  <c r="Q11" i="8"/>
  <c r="F11" i="8"/>
  <c r="W10" i="8"/>
  <c r="Q10" i="8"/>
  <c r="F10" i="8"/>
  <c r="W9" i="8"/>
  <c r="Q9" i="8"/>
  <c r="F9" i="8"/>
  <c r="W8" i="8"/>
  <c r="Q8" i="8"/>
  <c r="F8" i="8"/>
  <c r="W7" i="8"/>
  <c r="Q7" i="8"/>
  <c r="F7" i="8"/>
  <c r="W6" i="8"/>
  <c r="Q6" i="8"/>
  <c r="F6" i="8"/>
  <c r="W5" i="8"/>
  <c r="Q5" i="8"/>
  <c r="F5" i="8"/>
  <c r="J16" i="7"/>
  <c r="I16" i="7"/>
  <c r="H16" i="7"/>
  <c r="G16" i="7"/>
  <c r="J15" i="7"/>
  <c r="I15" i="7"/>
  <c r="G15" i="7"/>
  <c r="H15" i="7" s="1"/>
  <c r="J14" i="7"/>
  <c r="I14" i="7"/>
  <c r="H14" i="7"/>
  <c r="G14" i="7"/>
  <c r="J13" i="7"/>
  <c r="I13" i="7"/>
  <c r="G13" i="7"/>
  <c r="H13" i="7" s="1"/>
  <c r="J12" i="7"/>
  <c r="I12" i="7"/>
  <c r="H12" i="7"/>
  <c r="G12" i="7"/>
  <c r="J11" i="7"/>
  <c r="I11" i="7"/>
  <c r="G11" i="7"/>
  <c r="H11" i="7" s="1"/>
  <c r="J10" i="7"/>
  <c r="I10" i="7"/>
  <c r="H10" i="7"/>
  <c r="G10" i="7"/>
  <c r="J9" i="7"/>
  <c r="I9" i="7"/>
  <c r="G9" i="7"/>
  <c r="H9" i="7" s="1"/>
  <c r="J8" i="7"/>
  <c r="I8" i="7"/>
  <c r="H8" i="7"/>
  <c r="G8" i="7"/>
  <c r="J7" i="7"/>
  <c r="I7" i="7"/>
  <c r="G7" i="7"/>
  <c r="H7" i="7" s="1"/>
  <c r="J6" i="7"/>
  <c r="I6" i="7"/>
  <c r="H6" i="7"/>
  <c r="G6" i="7"/>
  <c r="J5" i="7"/>
  <c r="J17" i="7" s="1"/>
  <c r="I5" i="7"/>
  <c r="I17" i="7" s="1"/>
  <c r="G5" i="7"/>
  <c r="H5" i="7" s="1"/>
  <c r="H17" i="7" s="1"/>
  <c r="N56" i="6"/>
  <c r="M56" i="6"/>
  <c r="K56" i="6"/>
  <c r="J56" i="6"/>
  <c r="H56" i="6"/>
  <c r="I56" i="6" s="1"/>
  <c r="L56" i="6" s="1"/>
  <c r="N55" i="6"/>
  <c r="M55" i="6"/>
  <c r="L55" i="6"/>
  <c r="K55" i="6"/>
  <c r="J55" i="6"/>
  <c r="I55" i="6"/>
  <c r="H55" i="6"/>
  <c r="N54" i="6"/>
  <c r="M54" i="6"/>
  <c r="K54" i="6"/>
  <c r="J54" i="6"/>
  <c r="H54" i="6"/>
  <c r="I54" i="6" s="1"/>
  <c r="L54" i="6" s="1"/>
  <c r="N53" i="6"/>
  <c r="M53" i="6"/>
  <c r="L53" i="6"/>
  <c r="K53" i="6"/>
  <c r="J53" i="6"/>
  <c r="I53" i="6"/>
  <c r="H53" i="6"/>
  <c r="G53" i="6"/>
  <c r="N52" i="6"/>
  <c r="M52" i="6"/>
  <c r="K52" i="6"/>
  <c r="J52" i="6"/>
  <c r="H52" i="6"/>
  <c r="I52" i="6" s="1"/>
  <c r="L52" i="6" s="1"/>
  <c r="N51" i="6"/>
  <c r="M51" i="6"/>
  <c r="L51" i="6"/>
  <c r="K51" i="6"/>
  <c r="J51" i="6"/>
  <c r="I51" i="6"/>
  <c r="H51" i="6"/>
  <c r="N50" i="6"/>
  <c r="M50" i="6"/>
  <c r="K50" i="6"/>
  <c r="J50" i="6"/>
  <c r="H50" i="6"/>
  <c r="I50" i="6" s="1"/>
  <c r="L50" i="6" s="1"/>
  <c r="N49" i="6"/>
  <c r="M49" i="6"/>
  <c r="L49" i="6"/>
  <c r="K49" i="6"/>
  <c r="J49" i="6"/>
  <c r="I49" i="6"/>
  <c r="H49" i="6"/>
  <c r="N48" i="6"/>
  <c r="M48" i="6"/>
  <c r="K48" i="6"/>
  <c r="J48" i="6"/>
  <c r="H48" i="6"/>
  <c r="I48" i="6" s="1"/>
  <c r="L48" i="6" s="1"/>
  <c r="N47" i="6"/>
  <c r="M47" i="6"/>
  <c r="L47" i="6"/>
  <c r="K47" i="6"/>
  <c r="J47" i="6"/>
  <c r="I47" i="6"/>
  <c r="H47" i="6"/>
  <c r="N46" i="6"/>
  <c r="M46" i="6"/>
  <c r="K46" i="6"/>
  <c r="J46" i="6"/>
  <c r="H46" i="6"/>
  <c r="I46" i="6" s="1"/>
  <c r="L46" i="6" s="1"/>
  <c r="G46" i="6"/>
  <c r="N45" i="6"/>
  <c r="M45" i="6"/>
  <c r="L45" i="6"/>
  <c r="K45" i="6"/>
  <c r="J45" i="6"/>
  <c r="I45" i="6"/>
  <c r="H45" i="6"/>
  <c r="N44" i="6"/>
  <c r="M44" i="6"/>
  <c r="K44" i="6"/>
  <c r="J44" i="6"/>
  <c r="H44" i="6"/>
  <c r="I44" i="6" s="1"/>
  <c r="L44" i="6" s="1"/>
  <c r="N43" i="6"/>
  <c r="M43" i="6"/>
  <c r="L43" i="6"/>
  <c r="K43" i="6"/>
  <c r="J43" i="6"/>
  <c r="I43" i="6"/>
  <c r="H43" i="6"/>
  <c r="N42" i="6"/>
  <c r="M42" i="6"/>
  <c r="K42" i="6"/>
  <c r="J42" i="6"/>
  <c r="H42" i="6"/>
  <c r="I42" i="6" s="1"/>
  <c r="L42" i="6" s="1"/>
  <c r="N41" i="6"/>
  <c r="M41" i="6"/>
  <c r="L41" i="6"/>
  <c r="K41" i="6"/>
  <c r="J41" i="6"/>
  <c r="I41" i="6"/>
  <c r="H41" i="6"/>
  <c r="N40" i="6"/>
  <c r="M40" i="6"/>
  <c r="K40" i="6"/>
  <c r="J40" i="6"/>
  <c r="H40" i="6"/>
  <c r="I40" i="6" s="1"/>
  <c r="L40" i="6" s="1"/>
  <c r="N39" i="6"/>
  <c r="M39" i="6"/>
  <c r="L39" i="6"/>
  <c r="K39" i="6"/>
  <c r="J39" i="6"/>
  <c r="I39" i="6"/>
  <c r="H39" i="6"/>
  <c r="N38" i="6"/>
  <c r="M38" i="6"/>
  <c r="K38" i="6"/>
  <c r="J38" i="6"/>
  <c r="H38" i="6"/>
  <c r="I38" i="6" s="1"/>
  <c r="L38" i="6" s="1"/>
  <c r="N37" i="6"/>
  <c r="M37" i="6"/>
  <c r="L37" i="6"/>
  <c r="K37" i="6"/>
  <c r="J37" i="6"/>
  <c r="I37" i="6"/>
  <c r="H37" i="6"/>
  <c r="G37" i="6"/>
  <c r="N36" i="6"/>
  <c r="M36" i="6"/>
  <c r="K36" i="6"/>
  <c r="J36" i="6"/>
  <c r="H36" i="6"/>
  <c r="I36" i="6" s="1"/>
  <c r="L36" i="6" s="1"/>
  <c r="N35" i="6"/>
  <c r="M35" i="6"/>
  <c r="L35" i="6"/>
  <c r="K35" i="6"/>
  <c r="J35" i="6"/>
  <c r="I35" i="6"/>
  <c r="H35" i="6"/>
  <c r="N34" i="6"/>
  <c r="M34" i="6"/>
  <c r="K34" i="6"/>
  <c r="J34" i="6"/>
  <c r="H34" i="6"/>
  <c r="I34" i="6" s="1"/>
  <c r="L34" i="6" s="1"/>
  <c r="N33" i="6"/>
  <c r="M33" i="6"/>
  <c r="L33" i="6"/>
  <c r="K33" i="6"/>
  <c r="J33" i="6"/>
  <c r="I33" i="6"/>
  <c r="H33" i="6"/>
  <c r="N32" i="6"/>
  <c r="M32" i="6"/>
  <c r="K32" i="6"/>
  <c r="J32" i="6"/>
  <c r="H32" i="6"/>
  <c r="I32" i="6" s="1"/>
  <c r="L32" i="6" s="1"/>
  <c r="N31" i="6"/>
  <c r="M31" i="6"/>
  <c r="L31" i="6"/>
  <c r="K31" i="6"/>
  <c r="J31" i="6"/>
  <c r="I31" i="6"/>
  <c r="H31" i="6"/>
  <c r="N30" i="6"/>
  <c r="M30" i="6"/>
  <c r="K30" i="6"/>
  <c r="J30" i="6"/>
  <c r="H30" i="6"/>
  <c r="I30" i="6" s="1"/>
  <c r="L30" i="6" s="1"/>
  <c r="G30" i="6"/>
  <c r="N29" i="6"/>
  <c r="M29" i="6"/>
  <c r="L29" i="6"/>
  <c r="K29" i="6"/>
  <c r="J29" i="6"/>
  <c r="I29" i="6"/>
  <c r="H29" i="6"/>
  <c r="N28" i="6"/>
  <c r="M28" i="6"/>
  <c r="K28" i="6"/>
  <c r="J28" i="6"/>
  <c r="H28" i="6"/>
  <c r="I28" i="6" s="1"/>
  <c r="L28" i="6" s="1"/>
  <c r="N27" i="6"/>
  <c r="M27" i="6"/>
  <c r="L27" i="6"/>
  <c r="K27" i="6"/>
  <c r="J27" i="6"/>
  <c r="I27" i="6"/>
  <c r="H27" i="6"/>
  <c r="N26" i="6"/>
  <c r="M26" i="6"/>
  <c r="K26" i="6"/>
  <c r="J26" i="6"/>
  <c r="H26" i="6"/>
  <c r="I26" i="6" s="1"/>
  <c r="L26" i="6" s="1"/>
  <c r="N25" i="6"/>
  <c r="M25" i="6"/>
  <c r="L25" i="6"/>
  <c r="K25" i="6"/>
  <c r="J25" i="6"/>
  <c r="I25" i="6"/>
  <c r="H25" i="6"/>
  <c r="N24" i="6"/>
  <c r="M24" i="6"/>
  <c r="K24" i="6"/>
  <c r="J24" i="6"/>
  <c r="H24" i="6"/>
  <c r="I24" i="6" s="1"/>
  <c r="L24" i="6" s="1"/>
  <c r="N23" i="6"/>
  <c r="M23" i="6"/>
  <c r="L23" i="6"/>
  <c r="K23" i="6"/>
  <c r="J23" i="6"/>
  <c r="I23" i="6"/>
  <c r="H23" i="6"/>
  <c r="N22" i="6"/>
  <c r="M22" i="6"/>
  <c r="K22" i="6"/>
  <c r="J22" i="6"/>
  <c r="H22" i="6"/>
  <c r="I22" i="6" s="1"/>
  <c r="L22" i="6" s="1"/>
  <c r="N21" i="6"/>
  <c r="M21" i="6"/>
  <c r="L21" i="6"/>
  <c r="K21" i="6"/>
  <c r="J21" i="6"/>
  <c r="I21" i="6"/>
  <c r="H21" i="6"/>
  <c r="G21" i="6"/>
  <c r="N20" i="6"/>
  <c r="M20" i="6"/>
  <c r="K20" i="6"/>
  <c r="J20" i="6"/>
  <c r="H20" i="6"/>
  <c r="I20" i="6" s="1"/>
  <c r="L20" i="6" s="1"/>
  <c r="N19" i="6"/>
  <c r="M19" i="6"/>
  <c r="L19" i="6"/>
  <c r="K19" i="6"/>
  <c r="J19" i="6"/>
  <c r="I19" i="6"/>
  <c r="H19" i="6"/>
  <c r="N18" i="6"/>
  <c r="M18" i="6"/>
  <c r="K18" i="6"/>
  <c r="J18" i="6"/>
  <c r="H18" i="6"/>
  <c r="I18" i="6" s="1"/>
  <c r="L18" i="6" s="1"/>
  <c r="N17" i="6"/>
  <c r="M17" i="6"/>
  <c r="L17" i="6"/>
  <c r="K17" i="6"/>
  <c r="J17" i="6"/>
  <c r="I17" i="6"/>
  <c r="H17" i="6"/>
  <c r="N16" i="6"/>
  <c r="M16" i="6"/>
  <c r="K16" i="6"/>
  <c r="J16" i="6"/>
  <c r="H16" i="6"/>
  <c r="I16" i="6" s="1"/>
  <c r="L16" i="6" s="1"/>
  <c r="N15" i="6"/>
  <c r="M15" i="6"/>
  <c r="L15" i="6"/>
  <c r="K15" i="6"/>
  <c r="J15" i="6"/>
  <c r="I15" i="6"/>
  <c r="H15" i="6"/>
  <c r="N14" i="6"/>
  <c r="M14" i="6"/>
  <c r="K14" i="6"/>
  <c r="J14" i="6"/>
  <c r="H14" i="6"/>
  <c r="I14" i="6" s="1"/>
  <c r="L14" i="6" s="1"/>
  <c r="G14" i="6"/>
  <c r="N13" i="6"/>
  <c r="M13" i="6"/>
  <c r="L13" i="6"/>
  <c r="K13" i="6"/>
  <c r="J13" i="6"/>
  <c r="I13" i="6"/>
  <c r="H13" i="6"/>
  <c r="N12" i="6"/>
  <c r="M12" i="6"/>
  <c r="K12" i="6"/>
  <c r="J12" i="6"/>
  <c r="H12" i="6"/>
  <c r="I12" i="6" s="1"/>
  <c r="L12" i="6" s="1"/>
  <c r="N11" i="6"/>
  <c r="M11" i="6"/>
  <c r="L11" i="6"/>
  <c r="K11" i="6"/>
  <c r="J11" i="6"/>
  <c r="I11" i="6"/>
  <c r="H11" i="6"/>
  <c r="N10" i="6"/>
  <c r="M10" i="6"/>
  <c r="K10" i="6"/>
  <c r="J10" i="6"/>
  <c r="H10" i="6"/>
  <c r="I10" i="6" s="1"/>
  <c r="L10" i="6" s="1"/>
  <c r="N9" i="6"/>
  <c r="M9" i="6"/>
  <c r="L9" i="6"/>
  <c r="K9" i="6"/>
  <c r="J9" i="6"/>
  <c r="I9" i="6"/>
  <c r="H9" i="6"/>
  <c r="N8" i="6"/>
  <c r="M8" i="6"/>
  <c r="K8" i="6"/>
  <c r="J8" i="6"/>
  <c r="H8" i="6"/>
  <c r="I8" i="6" s="1"/>
  <c r="L8" i="6" s="1"/>
  <c r="N7" i="6"/>
  <c r="M7" i="6"/>
  <c r="L7" i="6"/>
  <c r="K7" i="6"/>
  <c r="J7" i="6"/>
  <c r="I7" i="6"/>
  <c r="H7" i="6"/>
  <c r="N6" i="6"/>
  <c r="M6" i="6"/>
  <c r="M57" i="6" s="1"/>
  <c r="K6" i="6"/>
  <c r="J6" i="6"/>
  <c r="H6" i="6"/>
  <c r="N5" i="6"/>
  <c r="M5" i="6"/>
  <c r="L5" i="6"/>
  <c r="K5" i="6"/>
  <c r="K57" i="6" s="1"/>
  <c r="J5" i="6"/>
  <c r="J57" i="6" s="1"/>
  <c r="I5" i="6"/>
  <c r="H5" i="6"/>
  <c r="G5" i="6"/>
  <c r="B25" i="3"/>
  <c r="C25" i="3" s="1"/>
  <c r="B24" i="3"/>
  <c r="C24" i="3" s="1"/>
  <c r="B23" i="3"/>
  <c r="C23" i="3" s="1"/>
  <c r="B22" i="3"/>
  <c r="C22" i="3" s="1"/>
  <c r="B20" i="3"/>
  <c r="C20" i="3" s="1"/>
  <c r="B19" i="3"/>
  <c r="C19" i="3" s="1"/>
  <c r="B18" i="3"/>
  <c r="C18" i="3" s="1"/>
  <c r="B17" i="3"/>
  <c r="C17" i="3" s="1"/>
  <c r="E10" i="3"/>
  <c r="D10" i="3"/>
  <c r="M10" i="3" s="1"/>
  <c r="M9" i="3"/>
  <c r="L9" i="3"/>
  <c r="E9" i="3"/>
  <c r="D9" i="3"/>
  <c r="M8" i="3"/>
  <c r="E8" i="3"/>
  <c r="D8" i="3"/>
  <c r="L8" i="3" s="1"/>
  <c r="E7" i="3"/>
  <c r="D7" i="3"/>
  <c r="M7" i="3" s="1"/>
  <c r="E6" i="3"/>
  <c r="D6" i="3"/>
  <c r="L6" i="3" s="1"/>
  <c r="G9" i="2"/>
  <c r="G54" i="6" s="1"/>
  <c r="G8" i="2"/>
  <c r="G69" i="8" s="1"/>
  <c r="G7" i="2"/>
  <c r="G101" i="8" s="1"/>
  <c r="L10" i="3" l="1"/>
  <c r="G8" i="6"/>
  <c r="G15" i="6"/>
  <c r="G24" i="6"/>
  <c r="G31" i="6"/>
  <c r="G40" i="6"/>
  <c r="G47" i="6"/>
  <c r="G10" i="8"/>
  <c r="G19" i="8"/>
  <c r="G42" i="8"/>
  <c r="G51" i="8"/>
  <c r="G74" i="8"/>
  <c r="G83" i="8"/>
  <c r="L8" i="12"/>
  <c r="G6" i="6"/>
  <c r="G13" i="6"/>
  <c r="G22" i="6"/>
  <c r="G29" i="6"/>
  <c r="G38" i="6"/>
  <c r="G45" i="6"/>
  <c r="G6" i="8"/>
  <c r="G15" i="8"/>
  <c r="G38" i="8"/>
  <c r="G47" i="8"/>
  <c r="G70" i="8"/>
  <c r="G79" i="8"/>
  <c r="G102" i="8"/>
  <c r="M8" i="12"/>
  <c r="G11" i="6"/>
  <c r="G20" i="6"/>
  <c r="G27" i="6"/>
  <c r="G36" i="6"/>
  <c r="G43" i="6"/>
  <c r="G52" i="6"/>
  <c r="G11" i="8"/>
  <c r="G34" i="8"/>
  <c r="G43" i="8"/>
  <c r="G66" i="8"/>
  <c r="G75" i="8"/>
  <c r="G98" i="8"/>
  <c r="G16" i="8"/>
  <c r="G25" i="8"/>
  <c r="G48" i="8"/>
  <c r="G57" i="8"/>
  <c r="G80" i="8"/>
  <c r="G89" i="8"/>
  <c r="G9" i="6"/>
  <c r="G18" i="6"/>
  <c r="G25" i="6"/>
  <c r="G34" i="6"/>
  <c r="G41" i="6"/>
  <c r="G50" i="6"/>
  <c r="G7" i="8"/>
  <c r="G30" i="8"/>
  <c r="G39" i="8"/>
  <c r="G62" i="8"/>
  <c r="G71" i="8"/>
  <c r="G94" i="8"/>
  <c r="K9" i="12"/>
  <c r="G12" i="8"/>
  <c r="G21" i="8"/>
  <c r="G44" i="8"/>
  <c r="G53" i="8"/>
  <c r="G76" i="8"/>
  <c r="G85" i="8"/>
  <c r="L9" i="12"/>
  <c r="L7" i="3"/>
  <c r="G7" i="6"/>
  <c r="G16" i="6"/>
  <c r="G23" i="6"/>
  <c r="G32" i="6"/>
  <c r="G39" i="6"/>
  <c r="G48" i="6"/>
  <c r="G26" i="8"/>
  <c r="G35" i="8"/>
  <c r="G58" i="8"/>
  <c r="G67" i="8"/>
  <c r="G90" i="8"/>
  <c r="G99" i="8"/>
  <c r="G104" i="8"/>
  <c r="K6" i="12"/>
  <c r="G8" i="8"/>
  <c r="G17" i="8"/>
  <c r="G40" i="8"/>
  <c r="G49" i="8"/>
  <c r="G72" i="8"/>
  <c r="G81" i="8"/>
  <c r="M6" i="12"/>
  <c r="G13" i="8"/>
  <c r="G36" i="8"/>
  <c r="G45" i="8"/>
  <c r="G68" i="8"/>
  <c r="G77" i="8"/>
  <c r="G100" i="8"/>
  <c r="K14" i="12"/>
  <c r="G12" i="6"/>
  <c r="G19" i="6"/>
  <c r="G28" i="6"/>
  <c r="G35" i="6"/>
  <c r="G44" i="6"/>
  <c r="G51" i="6"/>
  <c r="G18" i="8"/>
  <c r="G27" i="8"/>
  <c r="G50" i="8"/>
  <c r="G59" i="8"/>
  <c r="G82" i="8"/>
  <c r="G91" i="8"/>
  <c r="K10" i="12"/>
  <c r="M14" i="12"/>
  <c r="G9" i="8"/>
  <c r="G32" i="8"/>
  <c r="G41" i="8"/>
  <c r="G64" i="8"/>
  <c r="G73" i="8"/>
  <c r="G96" i="8"/>
  <c r="G10" i="6"/>
  <c r="G17" i="6"/>
  <c r="G26" i="6"/>
  <c r="G33" i="6"/>
  <c r="G42" i="6"/>
  <c r="G49" i="6"/>
  <c r="G56" i="6"/>
  <c r="G14" i="8"/>
  <c r="G23" i="8"/>
  <c r="G46" i="8"/>
  <c r="G55" i="8"/>
  <c r="G78" i="8"/>
  <c r="G87" i="8"/>
  <c r="G5" i="8"/>
  <c r="G28" i="8"/>
  <c r="G37" i="8"/>
  <c r="G60" i="8"/>
  <c r="G92" i="8"/>
  <c r="I8" i="3"/>
  <c r="B12" i="13"/>
  <c r="B26" i="3"/>
  <c r="C26" i="3" s="1"/>
  <c r="B14" i="13"/>
  <c r="B13" i="13"/>
  <c r="H18" i="13"/>
  <c r="C29" i="13"/>
  <c r="H29" i="13" s="1"/>
  <c r="K12" i="12"/>
  <c r="G55" i="6"/>
  <c r="L12" i="12"/>
  <c r="K7" i="12"/>
  <c r="B29" i="13"/>
  <c r="I29" i="13" s="1"/>
  <c r="B39" i="13"/>
  <c r="M6" i="3"/>
  <c r="B18" i="9"/>
  <c r="B45" i="13" s="1"/>
  <c r="H57" i="6"/>
  <c r="G103" i="8"/>
  <c r="H7" i="3" s="1"/>
  <c r="K5" i="12"/>
  <c r="K13" i="12"/>
  <c r="B21" i="3"/>
  <c r="C21" i="3" s="1"/>
  <c r="G17" i="7"/>
  <c r="L5" i="12"/>
  <c r="L13" i="12"/>
  <c r="C59" i="13"/>
  <c r="K11" i="12"/>
  <c r="I6" i="6"/>
  <c r="I57" i="6" s="1"/>
  <c r="L11" i="12"/>
  <c r="I9" i="3" l="1"/>
  <c r="F6" i="3"/>
  <c r="I10" i="3"/>
  <c r="J6" i="3"/>
  <c r="J9" i="3"/>
  <c r="F10" i="3"/>
  <c r="H8" i="3"/>
  <c r="F8" i="3"/>
  <c r="F7" i="3"/>
  <c r="H10" i="3"/>
  <c r="I7" i="3"/>
  <c r="L57" i="6"/>
  <c r="L6" i="6"/>
  <c r="I6" i="3"/>
  <c r="J10" i="3"/>
  <c r="J7" i="3"/>
  <c r="F9" i="3"/>
  <c r="H9" i="3"/>
  <c r="H6" i="3"/>
  <c r="J8" i="3"/>
  <c r="G7" i="3" l="1"/>
  <c r="K7" i="3" s="1"/>
  <c r="G8" i="3"/>
  <c r="K8" i="3" s="1"/>
  <c r="G10" i="3"/>
  <c r="K10" i="3" s="1"/>
  <c r="K6" i="3"/>
  <c r="G6" i="3"/>
  <c r="K9" i="3"/>
  <c r="G9" i="3"/>
</calcChain>
</file>

<file path=xl/sharedStrings.xml><?xml version="1.0" encoding="utf-8"?>
<sst xmlns="http://schemas.openxmlformats.org/spreadsheetml/2006/main" count="2291" uniqueCount="1157">
  <si>
    <t>Cấu hình – điền MỘT LẦN, cả file tự cập nhật</t>
  </si>
  <si>
    <t>Ô nền vàng là ô nhập. Họ tên ở đây được dùng làm danh sách chọn ở mọi sheet.</t>
  </si>
  <si>
    <t>Tên nhóm</t>
  </si>
  <si>
    <t>Nhóm 05</t>
  </si>
  <si>
    <t>Tên đề tài</t>
  </si>
  <si>
    <t>Kiểm thử website ANYN</t>
  </si>
  <si>
    <t>STT</t>
  </si>
  <si>
    <t>Họ tên</t>
  </si>
  <si>
    <t>Vai trò</t>
  </si>
  <si>
    <t>Ghi chú</t>
  </si>
  <si>
    <t>Nhóm</t>
  </si>
  <si>
    <t>Người phụ trách (chọn trong danh sách)</t>
  </si>
  <si>
    <t>Phạm vi</t>
  </si>
  <si>
    <t>Thái Hoàng Minh</t>
  </si>
  <si>
    <t>QA Lead / Test Manager</t>
  </si>
  <si>
    <t>Điều phối, Test Plan, Test Summary, slide, review</t>
  </si>
  <si>
    <t>Nhóm 1</t>
  </si>
  <si>
    <t>M1–M5 (F01–F23) và F49 bộ lọc nội dung</t>
  </si>
  <si>
    <t>Lâm Hoài An</t>
  </si>
  <si>
    <t>Functional Tester 1</t>
  </si>
  <si>
    <t>Nhóm chức năng 1</t>
  </si>
  <si>
    <t>Nhóm 2</t>
  </si>
  <si>
    <t>M6–M10 (F24–F44) và Security M11 (F45–F48, F52)</t>
  </si>
  <si>
    <t>Nguyễn Phúc Khang</t>
  </si>
  <si>
    <t>Functional Tester 2</t>
  </si>
  <si>
    <t>Nhóm chức năng 2 + Security TC + Bug Report</t>
  </si>
  <si>
    <t>Phi chức năng</t>
  </si>
  <si>
    <t>Tương thích (F50), hiệu năng (F51)</t>
  </si>
  <si>
    <t>Võ Trường Hải</t>
  </si>
  <si>
    <t>Automation Tester</t>
  </si>
  <si>
    <t>6 script tự động</t>
  </si>
  <si>
    <t>Châu Minh Tuệ</t>
  </si>
  <si>
    <t>Performance/Security Tester</t>
  </si>
  <si>
    <t>Performance, Security, tương thích</t>
  </si>
  <si>
    <t>Muốn đổi người phụ trách một nhóm: bấm ô vàng cột G và chọn tên khác. Muốn chuyển một chức năng sang nhóm khác: đổi cột 'Nhóm' trong sheet Checklist cover.</t>
  </si>
  <si>
    <t>Tổng quan – bảng điều khiển của nhóm (tự động)</t>
  </si>
  <si>
    <t>Mở sheet này mỗi tuần để biết nhóm đang ở đâu và việc gì cần xử lý.</t>
  </si>
  <si>
    <t>Tiến độ từng người</t>
  </si>
  <si>
    <t>TC được giao</t>
  </si>
  <si>
    <t>Đã chạy</t>
  </si>
  <si>
    <t>Pass</t>
  </si>
  <si>
    <t>Fail</t>
  </si>
  <si>
    <t>Blocked</t>
  </si>
  <si>
    <t>% hoàn thành</t>
  </si>
  <si>
    <t>Lỗi đã báo</t>
  </si>
  <si>
    <t>Giờ đóng góp</t>
  </si>
  <si>
    <t>Cảnh báo – việc cần xử lý</t>
  </si>
  <si>
    <t>Cảnh báo</t>
  </si>
  <si>
    <t>Số lượng</t>
  </si>
  <si>
    <t>Tình trạng</t>
  </si>
  <si>
    <t>Việc cần làm</t>
  </si>
  <si>
    <t>Ai xử lý</t>
  </si>
  <si>
    <t>TC Fail nhưng chưa có Bug ID</t>
  </si>
  <si>
    <t>Mở Bug Log ghi lỗi rồi chọn Bug ID trong Test Cases</t>
  </si>
  <si>
    <t>Người chạy TC đó</t>
  </si>
  <si>
    <t>TC đã chạy nhưng thiếu ngày test</t>
  </si>
  <si>
    <t>Điền ngày (Ctrl + ;)</t>
  </si>
  <si>
    <t>TC P1 chưa chạy</t>
  </si>
  <si>
    <t>Ưu tiên chạy P1 trước</t>
  </si>
  <si>
    <t>Người phụ trách TC</t>
  </si>
  <si>
    <t>TC đang Blocked</t>
  </si>
  <si>
    <t>Xử lý lỗi chặn rồi chạy lại</t>
  </si>
  <si>
    <t>Khang + người chạy</t>
  </si>
  <si>
    <t>Chức năng chưa có test case</t>
  </si>
  <si>
    <t>Thêm TC cho chức năng đó</t>
  </si>
  <si>
    <t>Người phụ trách chức năng</t>
  </si>
  <si>
    <t>Lỗi Fixed đang chờ Verify</t>
  </si>
  <si>
    <t>Chạy lại TC, đúng thì Verified</t>
  </si>
  <si>
    <t>Người báo lỗi</t>
  </si>
  <si>
    <t>Lỗi Critical/High còn mở</t>
  </si>
  <si>
    <t>Họp triage, gán người sửa</t>
  </si>
  <si>
    <t>Khang + Minh</t>
  </si>
  <si>
    <t>Script automation chưa chạy xong 3 lần</t>
  </si>
  <si>
    <t>Chạy và ghi kết quả</t>
  </si>
  <si>
    <t>Hải</t>
  </si>
  <si>
    <t>Hạng mục Security chưa test</t>
  </si>
  <si>
    <t>Tuệ + Khang</t>
  </si>
  <si>
    <t>Tuần kế hoạch đang TRỄ</t>
  </si>
  <si>
    <t>Họp nhanh xử lý, cập nhật Trạng thái</t>
  </si>
  <si>
    <t>Minh</t>
  </si>
  <si>
    <t>Trạng thái</t>
  </si>
  <si>
    <t>Checklist cover chức năng – ANYN</t>
  </si>
  <si>
    <t>Cột 'Nhóm' chọn được; 'Người phụ trách' tự lấy từ Cấu hình; số liệu tự tính. 'CHƯA CÓ TC' = còn sót chức năng.</t>
  </si>
  <si>
    <t>Mã CN</t>
  </si>
  <si>
    <t>Module</t>
  </si>
  <si>
    <t>Chức năng</t>
  </si>
  <si>
    <t>File / Vị trí</t>
  </si>
  <si>
    <t>Hành động / Điểm kiểm thử</t>
  </si>
  <si>
    <t>Người phụ trách (tự động)</t>
  </si>
  <si>
    <t>Số TC</t>
  </si>
  <si>
    <t>% Đã chạy</t>
  </si>
  <si>
    <t>Trạng thái cover</t>
  </si>
  <si>
    <t>Đi tới TC</t>
  </si>
  <si>
    <t>F01</t>
  </si>
  <si>
    <t>M1 – Tài khoản</t>
  </si>
  <si>
    <t>Đăng ký tài khoản</t>
  </si>
  <si>
    <t>pages/register.php</t>
  </si>
  <si>
    <t>POST register</t>
  </si>
  <si>
    <t>F02</t>
  </si>
  <si>
    <t>Đăng nhập</t>
  </si>
  <si>
    <t>pages/login.php</t>
  </si>
  <si>
    <t>POST login</t>
  </si>
  <si>
    <t>F03</t>
  </si>
  <si>
    <t>Chống dò mật khẩu (throttle)</t>
  </si>
  <si>
    <t>includes/auth.php</t>
  </si>
  <si>
    <t>loginIsThrottled: 5/email, 20/IP, 15 phút</t>
  </si>
  <si>
    <t>F04</t>
  </si>
  <si>
    <t>Đăng xuất</t>
  </si>
  <si>
    <t>pages/logout.php</t>
  </si>
  <si>
    <t>GET logout</t>
  </si>
  <si>
    <t>F05</t>
  </si>
  <si>
    <t>Quên mật khẩu</t>
  </si>
  <si>
    <t>pages/forgot_password.php</t>
  </si>
  <si>
    <t>POST email</t>
  </si>
  <si>
    <t>F06</t>
  </si>
  <si>
    <t>Đặt lại mật khẩu bằng token</t>
  </si>
  <si>
    <t>pages/reset_password.php</t>
  </si>
  <si>
    <t>GET token / POST mật khẩu mới</t>
  </si>
  <si>
    <t>F07</t>
  </si>
  <si>
    <t>M2 – Phân quyền</t>
  </si>
  <si>
    <t>Truy cập theo vai trò Guest/User/Admin</t>
  </si>
  <si>
    <t>requireLogin / requireAdmin</t>
  </si>
  <si>
    <t>F08</t>
  </si>
  <si>
    <t>M3 – Trang chủ &amp; Tìm kiếm</t>
  </si>
  <si>
    <t>Trang chủ</t>
  </si>
  <si>
    <t>index.php</t>
  </si>
  <si>
    <t>GET</t>
  </si>
  <si>
    <t>F09</t>
  </si>
  <si>
    <t>Gợi ý tìm kiếm</t>
  </si>
  <si>
    <t>search_suggestions.php</t>
  </si>
  <si>
    <t>GET q</t>
  </si>
  <si>
    <t>F10</t>
  </si>
  <si>
    <t>Trang giới thiệu</t>
  </si>
  <si>
    <t>pages/about.php</t>
  </si>
  <si>
    <t>F11</t>
  </si>
  <si>
    <t>M4 – Gallery &amp; Bot</t>
  </si>
  <si>
    <t>Danh sách Gallery / lọc</t>
  </si>
  <si>
    <t>pages/gallery.php</t>
  </si>
  <si>
    <t>F12</t>
  </si>
  <si>
    <t>Chi tiết nhóm ảnh</t>
  </si>
  <si>
    <t>pages/group_detail.php</t>
  </si>
  <si>
    <t>GET id</t>
  </si>
  <si>
    <t>F13</t>
  </si>
  <si>
    <t>Chi tiết Bot</t>
  </si>
  <si>
    <t>pages/bot_detail.php</t>
  </si>
  <si>
    <t>F14</t>
  </si>
  <si>
    <t>Chấm điểm Bot</t>
  </si>
  <si>
    <t>POST submit_rating / score</t>
  </si>
  <si>
    <t>F15</t>
  </si>
  <si>
    <t>Thêm bình luận</t>
  </si>
  <si>
    <t>POST submit_comment / content</t>
  </si>
  <si>
    <t>F16</t>
  </si>
  <si>
    <t>Sửa / xóa bình luận</t>
  </si>
  <si>
    <t>POST edit_comment / delete_comment</t>
  </si>
  <si>
    <t>F17</t>
  </si>
  <si>
    <t>Thả tim ảnh Gallery</t>
  </si>
  <si>
    <t>POST reaction</t>
  </si>
  <si>
    <t>F18</t>
  </si>
  <si>
    <t>M5 – Ideas</t>
  </si>
  <si>
    <t>Gửi Idea</t>
  </si>
  <si>
    <t>pages/submit_idea.php</t>
  </si>
  <si>
    <t>POST</t>
  </si>
  <si>
    <t>F19</t>
  </si>
  <si>
    <t>Sửa Idea</t>
  </si>
  <si>
    <t>pages/edit_idea.php</t>
  </si>
  <si>
    <t>F20</t>
  </si>
  <si>
    <t>Xóa Idea</t>
  </si>
  <si>
    <t>pages/ideas.php</t>
  </si>
  <si>
    <t>POST delete_idea_id</t>
  </si>
  <si>
    <t>F21</t>
  </si>
  <si>
    <t>Upvote Idea</t>
  </si>
  <si>
    <t>POST upvote_id</t>
  </si>
  <si>
    <t>F22</t>
  </si>
  <si>
    <t>Quy trình trạng thái Idea</t>
  </si>
  <si>
    <t>POST idea_set_progress / idea_complete / idea_reopen</t>
  </si>
  <si>
    <t>F23</t>
  </si>
  <si>
    <t>Danh sách Ideas</t>
  </si>
  <si>
    <t>GET msg / error</t>
  </si>
  <si>
    <t>F24</t>
  </si>
  <si>
    <t>M6 – Commission</t>
  </si>
  <si>
    <t>Tạo Commission</t>
  </si>
  <si>
    <t>pages/commission.php</t>
  </si>
  <si>
    <t>POST submit_commission</t>
  </si>
  <si>
    <t>F25</t>
  </si>
  <si>
    <t>Dùng voucher commission</t>
  </si>
  <si>
    <t>POST use_voucher</t>
  </si>
  <si>
    <t>F26</t>
  </si>
  <si>
    <t>Xác nhận thanh toán</t>
  </si>
  <si>
    <t>POST confirm_payment</t>
  </si>
  <si>
    <t>F27</t>
  </si>
  <si>
    <t>Upload ảnh minh họa Commission</t>
  </si>
  <si>
    <t>FILES com_image_file / image_url</t>
  </si>
  <si>
    <t>F28</t>
  </si>
  <si>
    <t>Commission của tôi</t>
  </si>
  <si>
    <t>pages/my_commissions.php</t>
  </si>
  <si>
    <t>F29</t>
  </si>
  <si>
    <t>M7 – Shop &amp; Gems</t>
  </si>
  <si>
    <t>Điểm danh hằng ngày</t>
  </si>
  <si>
    <t>pages/shop.php</t>
  </si>
  <si>
    <t>POST daily_checkin</t>
  </si>
  <si>
    <t>F30</t>
  </si>
  <si>
    <t>Nhiệm vụ nhận gem &amp; giới hạn/ngày</t>
  </si>
  <si>
    <t>includes/gems_lib.php</t>
  </si>
  <si>
    <t>tryAwardMission</t>
  </si>
  <si>
    <t>F31</t>
  </si>
  <si>
    <t>Mua vật phẩm</t>
  </si>
  <si>
    <t>POST buy_item</t>
  </si>
  <si>
    <t>F32</t>
  </si>
  <si>
    <t>Trang bị khung avatar</t>
  </si>
  <si>
    <t>POST equip_type / equip_key</t>
  </si>
  <si>
    <t>F33</t>
  </si>
  <si>
    <t>Giới hạn voucher theo tháng</t>
  </si>
  <si>
    <t>canUseCommissionVoucher (1 publish, 3 unlisted)</t>
  </si>
  <si>
    <t>F34</t>
  </si>
  <si>
    <t>Mua &amp; yêu cầu Image Set</t>
  </si>
  <si>
    <t>POST buy_image_set / image_set_url</t>
  </si>
  <si>
    <t>F35</t>
  </si>
  <si>
    <t>M8 – Community Gallery</t>
  </si>
  <si>
    <t>Xem Community Gallery</t>
  </si>
  <si>
    <t>pages/community_gallery.php</t>
  </si>
  <si>
    <t>F36</t>
  </si>
  <si>
    <t>Upload ảnh Community</t>
  </si>
  <si>
    <t>pages/community_upload.php</t>
  </si>
  <si>
    <t>POST + FILES</t>
  </si>
  <si>
    <t>F37</t>
  </si>
  <si>
    <t>Reaction Community (like/love/fire)</t>
  </si>
  <si>
    <t>F38</t>
  </si>
  <si>
    <t>Admin duyệt / từ chối bài</t>
  </si>
  <si>
    <t>pages/admin_community.php</t>
  </si>
  <si>
    <t>POST approve / reject</t>
  </si>
  <si>
    <t>F39</t>
  </si>
  <si>
    <t>M9 – Hồ sơ &amp; Follow</t>
  </si>
  <si>
    <t>Xem &amp; sửa hồ sơ (bio, avatar)</t>
  </si>
  <si>
    <t>pages/profile.php</t>
  </si>
  <si>
    <t>F40</t>
  </si>
  <si>
    <t>Trang người dùng &amp; Follow</t>
  </si>
  <si>
    <t>pages/user.php</t>
  </si>
  <si>
    <t>POST follow / unfollow</t>
  </si>
  <si>
    <t>F41</t>
  </si>
  <si>
    <t>M10 – Quản trị (Admin)</t>
  </si>
  <si>
    <t>Quản lý Bot</t>
  </si>
  <si>
    <t>pages/admin_bots.php</t>
  </si>
  <si>
    <t>F42</t>
  </si>
  <si>
    <t>Thêm Bot</t>
  </si>
  <si>
    <t>pages/admin_add_bot.php</t>
  </si>
  <si>
    <t>F43</t>
  </si>
  <si>
    <t>Quản lý nhóm ảnh</t>
  </si>
  <si>
    <t>pages/admin_groups.php</t>
  </si>
  <si>
    <t>F44</t>
  </si>
  <si>
    <t>Thống kê</t>
  </si>
  <si>
    <t>pages/admin_stats.php</t>
  </si>
  <si>
    <t>F45</t>
  </si>
  <si>
    <t>M11 – Phi chức năng</t>
  </si>
  <si>
    <t>Bảo vệ CSRF</t>
  </si>
  <si>
    <t>includes/csrf.php</t>
  </si>
  <si>
    <t>csrf_enforce_global</t>
  </si>
  <si>
    <t>F46</t>
  </si>
  <si>
    <t>Chống XSS</t>
  </si>
  <si>
    <t>Toàn site</t>
  </si>
  <si>
    <t>Mọi ô nhập nội dung</t>
  </si>
  <si>
    <t>F47</t>
  </si>
  <si>
    <t>Chống SQL Injection</t>
  </si>
  <si>
    <t>Mọi tham số GET/POST</t>
  </si>
  <si>
    <t>F48</t>
  </si>
  <si>
    <t>Upload file an toàn</t>
  </si>
  <si>
    <t>validate_image_upload</t>
  </si>
  <si>
    <t>F49</t>
  </si>
  <si>
    <t>Bộ lọc nội dung cấm</t>
  </si>
  <si>
    <t>includes/content_filter.php</t>
  </si>
  <si>
    <t>isBlockedTheme</t>
  </si>
  <si>
    <t>F50</t>
  </si>
  <si>
    <t>Giao diện &amp; tương thích trình duyệt</t>
  </si>
  <si>
    <t>Chrome/Firefox/Edge, Desktop/Mobile</t>
  </si>
  <si>
    <t>F51</t>
  </si>
  <si>
    <t>Hiệu năng cơ bản</t>
  </si>
  <si>
    <t>Thời gian tải trang</t>
  </si>
  <si>
    <t>F52</t>
  </si>
  <si>
    <t>Cấu hình &amp; quản lý phiên</t>
  </si>
  <si>
    <t>config/database.php</t>
  </si>
  <si>
    <t>Cookie, session, hiển thị lỗi</t>
  </si>
  <si>
    <t>TỔNG</t>
  </si>
  <si>
    <t>Test Scenario – ANYN</t>
  </si>
  <si>
    <t>12 kịch bản nghiệp vụ. Số TC và kết quả tự tính từ Test Cases.</t>
  </si>
  <si>
    <t>SC ID</t>
  </si>
  <si>
    <t>Tên kịch bản</t>
  </si>
  <si>
    <t>Mô tả luồng</t>
  </si>
  <si>
    <t>Chức năng liên quan</t>
  </si>
  <si>
    <t>Vai trò tham gia</t>
  </si>
  <si>
    <t>Ưu tiên</t>
  </si>
  <si>
    <t>SC01</t>
  </si>
  <si>
    <t>Đăng ký, đăng nhập, quên mật khẩu và quản lý phiên</t>
  </si>
  <si>
    <t>Người dùng đăng ký, đăng nhập, bị khóa khi sai nhiều lần, đặt lại mật khẩu, đăng xuất</t>
  </si>
  <si>
    <t>F01-F06</t>
  </si>
  <si>
    <t>Guest, User</t>
  </si>
  <si>
    <t>P1</t>
  </si>
  <si>
    <t>SC02</t>
  </si>
  <si>
    <t>Phân quyền truy cập Guest / User / Admin</t>
  </si>
  <si>
    <t>Truy cập trực tiếp bằng URL vào các trang cần đăng nhập và trang quản trị với từng vai trò</t>
  </si>
  <si>
    <t>Guest, User, Admin</t>
  </si>
  <si>
    <t>SC03</t>
  </si>
  <si>
    <t>Duyệt gallery, tìm kiếm và xem chi tiết bot</t>
  </si>
  <si>
    <t>Mở trang chủ, tìm kiếm, lọc gallery, xem nhóm ảnh, xem bot, thả tim ảnh</t>
  </si>
  <si>
    <t>F08-F13, F17</t>
  </si>
  <si>
    <t>SC04</t>
  </si>
  <si>
    <t>Đánh giá và bình luận bot</t>
  </si>
  <si>
    <t>Chấm điểm, thêm, sửa, xóa bình luận; thao tác trên dữ liệu của người khác</t>
  </si>
  <si>
    <t>F14-F16</t>
  </si>
  <si>
    <t>User</t>
  </si>
  <si>
    <t>SC05</t>
  </si>
  <si>
    <t>Vòng đời ý tưởng (Idea)</t>
  </si>
  <si>
    <t>Gửi, sửa, xóa, upvote idea; admin chuyển open → in_progress → completed → reopen</t>
  </si>
  <si>
    <t>F18-F23</t>
  </si>
  <si>
    <t>User, Admin</t>
  </si>
  <si>
    <t>SC06</t>
  </si>
  <si>
    <t>Đặt Commission và dùng voucher</t>
  </si>
  <si>
    <t>Tạo yêu cầu, dùng voucher, upload ảnh minh họa, xác nhận thanh toán, xem danh sách của tôi</t>
  </si>
  <si>
    <t>F24-F28</t>
  </si>
  <si>
    <t>SC07</t>
  </si>
  <si>
    <t>Kinh tế gem: điểm danh, nhiệm vụ, mua đồ, giới hạn voucher</t>
  </si>
  <si>
    <t>Điểm danh, nhận gem theo nhiệm vụ, mua vật phẩm, trang bị khung, mua image set</t>
  </si>
  <si>
    <t>F29-F34</t>
  </si>
  <si>
    <t>SC08</t>
  </si>
  <si>
    <t>Community gallery: upload, duyệt, reaction</t>
  </si>
  <si>
    <t>User upload ảnh, admin duyệt/từ chối, người dùng xem và thả reaction</t>
  </si>
  <si>
    <t>F35-F38</t>
  </si>
  <si>
    <t>SC09</t>
  </si>
  <si>
    <t>Hồ sơ cá nhân và follow</t>
  </si>
  <si>
    <t>Xem/sửa bio, avatar; xem trang người khác; follow, unfollow</t>
  </si>
  <si>
    <t>F39-F40</t>
  </si>
  <si>
    <t>P2</t>
  </si>
  <si>
    <t>SC10</t>
  </si>
  <si>
    <t>Quản trị nội dung</t>
  </si>
  <si>
    <t>Admin thêm/sửa/xóa bot, quản lý nhóm ảnh, xem thống kê</t>
  </si>
  <si>
    <t>F41-F44</t>
  </si>
  <si>
    <t>Admin</t>
  </si>
  <si>
    <t>SC11</t>
  </si>
  <si>
    <t>Bảo mật ứng dụng</t>
  </si>
  <si>
    <t>CSRF, XSS, SQL injection, upload tệp, bộ lọc nội dung, cấu hình và phiên</t>
  </si>
  <si>
    <t>F45-F49, F52</t>
  </si>
  <si>
    <t>Mọi vai trò</t>
  </si>
  <si>
    <t>SC12</t>
  </si>
  <si>
    <t>Giao diện, tương thích và hiệu năng cơ bản</t>
  </si>
  <si>
    <t>Chạy luồng chính trên Chrome/Firefox/Edge, desktop và điện thoại, đo thời gian tải</t>
  </si>
  <si>
    <t>F50-F51</t>
  </si>
  <si>
    <t>Test Cases – ANYN</t>
  </si>
  <si>
    <t>Nhập: cột vàng. Cột xanh lá tự điền. Lọc cột G theo tên bạn để chỉ thấy TC của mình.</t>
  </si>
  <si>
    <t>TC ID</t>
  </si>
  <si>
    <t>Scenario</t>
  </si>
  <si>
    <t>Nhóm (tự động)</t>
  </si>
  <si>
    <t>Tiêu đề test case</t>
  </si>
  <si>
    <t>Điều kiện tiên quyết</t>
  </si>
  <si>
    <t>Các bước thực hiện</t>
  </si>
  <si>
    <t>Dữ liệu test</t>
  </si>
  <si>
    <t>Kết quả mong đợi</t>
  </si>
  <si>
    <t>Kỹ thuật thiết kế</t>
  </si>
  <si>
    <t>Loại test</t>
  </si>
  <si>
    <t>Tự động hóa</t>
  </si>
  <si>
    <t>Người thực hiện</t>
  </si>
  <si>
    <t>Ngày test</t>
  </si>
  <si>
    <t>Kết quả thực tế</t>
  </si>
  <si>
    <t>Bug ID</t>
  </si>
  <si>
    <t>Cảnh báo (tự động)</t>
  </si>
  <si>
    <t>TC001</t>
  </si>
  <si>
    <t>Đăng ký thành công với dữ liệu hợp lệ</t>
  </si>
  <si>
    <t>Chưa đăng nhập</t>
  </si>
  <si>
    <t>1. Mở trang Đăng ký
2. Nhập username, email, mật khẩu hợp lệ
3. Bấm Đăng ký</t>
  </si>
  <si>
    <t>user: tester01 / tester01@mail.com / Test1234</t>
  </si>
  <si>
    <t>Tạo tài khoản, chuyển sang đăng nhập hoặc vào trang chủ; role = user; DB có 1 bản ghi mới</t>
  </si>
  <si>
    <t>Use Case (luồng nghiệp vụ)</t>
  </si>
  <si>
    <t>Not Run</t>
  </si>
  <si>
    <t>TC002</t>
  </si>
  <si>
    <t>Đăng ký trùng email</t>
  </si>
  <si>
    <t>Đã có tài khoản tester01@mail.com</t>
  </si>
  <si>
    <t>Đăng ký lại với email đã tồn tại, username khác</t>
  </si>
  <si>
    <t>email trùng</t>
  </si>
  <si>
    <t>Báo lỗi email đã tồn tại, không tạo tài khoản mới</t>
  </si>
  <si>
    <t>Equivalence Partitioning</t>
  </si>
  <si>
    <t>TC003</t>
  </si>
  <si>
    <t>Mật khẩu ngắn hơn 8 ký tự</t>
  </si>
  <si>
    <t>Nhập mật khẩu 7 ký tự</t>
  </si>
  <si>
    <t>Abc1234</t>
  </si>
  <si>
    <t>Báo lỗi 'at least 8 characters'</t>
  </si>
  <si>
    <t>Boundary Value Analysis</t>
  </si>
  <si>
    <t>Biên</t>
  </si>
  <si>
    <t>TC004</t>
  </si>
  <si>
    <t>Đăng nhập đúng</t>
  </si>
  <si>
    <t>Có tài khoản user</t>
  </si>
  <si>
    <t>Nhập email + mật khẩu đúng</t>
  </si>
  <si>
    <t>tester01</t>
  </si>
  <si>
    <t>Đăng nhập thành công, header hiện tên/menu người dùng</t>
  </si>
  <si>
    <t>AT01</t>
  </si>
  <si>
    <t>TC005</t>
  </si>
  <si>
    <t>Đăng nhập sai mật khẩu</t>
  </si>
  <si>
    <t>Nhập email đúng, mật khẩu sai</t>
  </si>
  <si>
    <t>sai mật khẩu</t>
  </si>
  <si>
    <t>Báo lỗi chung, không đăng nhập; không tiết lộ email có tồn tại</t>
  </si>
  <si>
    <t>TC006</t>
  </si>
  <si>
    <t>Sai 5 lần liên tiếp cùng email</t>
  </si>
  <si>
    <t>Đăng nhập sai mật khẩu 5 lần, lần 6 nhập đúng</t>
  </si>
  <si>
    <t>15 phút</t>
  </si>
  <si>
    <t>Lần 6 bị chặn, có thông báo bị khóa tạm thời</t>
  </si>
  <si>
    <t>State Transition</t>
  </si>
  <si>
    <t>Bảo mật</t>
  </si>
  <si>
    <t>AT02</t>
  </si>
  <si>
    <t>TC007</t>
  </si>
  <si>
    <t>Hết thời gian khóa</t>
  </si>
  <si>
    <t>Đang bị khóa</t>
  </si>
  <si>
    <t>Chờ qua 15 phút (hoặc sửa bản ghi login_attempts) rồi đăng nhập</t>
  </si>
  <si>
    <t>Đăng nhập lại được</t>
  </si>
  <si>
    <t>P3</t>
  </si>
  <si>
    <t>TC008</t>
  </si>
  <si>
    <t>Đã đăng nhập</t>
  </si>
  <si>
    <t>Bấm Đăng xuất, sau đó nhấn nút Back của trình duyệt</t>
  </si>
  <si>
    <t>Session bị hủy; Back không vào lại được trang cần đăng nhập</t>
  </si>
  <si>
    <t>TC009</t>
  </si>
  <si>
    <t>Yêu cầu reset với email tồn tại</t>
  </si>
  <si>
    <t>Có tài khoản</t>
  </si>
  <si>
    <t>Nhập email đúng ở trang Quên mật khẩu</t>
  </si>
  <si>
    <t>email hợp lệ</t>
  </si>
  <si>
    <t>Có thông báo đã gửi (hoặc hiện link reset khi APP_ENV=development)</t>
  </si>
  <si>
    <t>TC010</t>
  </si>
  <si>
    <t>Yêu cầu reset với email không tồn tại</t>
  </si>
  <si>
    <t>Nhập email chưa đăng ký</t>
  </si>
  <si>
    <t>none@mail.com</t>
  </si>
  <si>
    <t>Thông báo trung tính, không lộ email có tồn tại hay không</t>
  </si>
  <si>
    <t>Experience-based (Error Guessing)</t>
  </si>
  <si>
    <t>TC011</t>
  </si>
  <si>
    <t>Reset bằng token hợp lệ</t>
  </si>
  <si>
    <t>Có link reset</t>
  </si>
  <si>
    <t>Mở link, nhập mật khẩu mới hợp lệ</t>
  </si>
  <si>
    <t>Newpass123</t>
  </si>
  <si>
    <t>Đổi mật khẩu thành công, đăng nhập được bằng mật khẩu mới</t>
  </si>
  <si>
    <t>TC012</t>
  </si>
  <si>
    <t>Dùng lại token đã sử dụng</t>
  </si>
  <si>
    <t>Token đã dùng</t>
  </si>
  <si>
    <t>Mở lại link reset cũ</t>
  </si>
  <si>
    <t>Báo token không hợp lệ/đã dùng</t>
  </si>
  <si>
    <t>TC013</t>
  </si>
  <si>
    <t>Guest vào trang cần đăng nhập</t>
  </si>
  <si>
    <t>Mở trực tiếp profile.php, commission.php, shop.php, my_commissions.php, submit_idea.php</t>
  </si>
  <si>
    <t>URL trực tiếp</t>
  </si>
  <si>
    <t>Chuyển hướng về trang đăng nhập</t>
  </si>
  <si>
    <t>Decision Table</t>
  </si>
  <si>
    <t>Phân quyền</t>
  </si>
  <si>
    <t>TC014</t>
  </si>
  <si>
    <t>Guest vào trang Admin</t>
  </si>
  <si>
    <t>Mở admin_bots.php, admin_stats.php, admin_community.php, admin_groups.php, admin_add_bot.php</t>
  </si>
  <si>
    <t>Bị chặn (403 hoặc chuyển hướng), không lộ dữ liệu</t>
  </si>
  <si>
    <t>AT03</t>
  </si>
  <si>
    <t>TC015</t>
  </si>
  <si>
    <t>User thường vào trang Admin</t>
  </si>
  <si>
    <t>Đăng nhập user</t>
  </si>
  <si>
    <t>Mở từng trang admin_* bằng URL</t>
  </si>
  <si>
    <t>Hiện 'Access Denied', mã 403</t>
  </si>
  <si>
    <t>TC016</t>
  </si>
  <si>
    <t>Admin truy cập đầy đủ</t>
  </si>
  <si>
    <t>Đăng nhập admin</t>
  </si>
  <si>
    <t>Mở tất cả trang admin_*</t>
  </si>
  <si>
    <t>Truy cập bình thường</t>
  </si>
  <si>
    <t>TC017</t>
  </si>
  <si>
    <t>Trang chủ hiển thị đầy đủ</t>
  </si>
  <si>
    <t>Mở index.php</t>
  </si>
  <si>
    <t>Banner, menu, nội dung nổi bật tải đủ, không lỗi PHP/ảnh vỡ</t>
  </si>
  <si>
    <t>Giao diện</t>
  </si>
  <si>
    <t>TC018</t>
  </si>
  <si>
    <t>Điều hướng menu</t>
  </si>
  <si>
    <t>Bấm lần lượt các mục menu</t>
  </si>
  <si>
    <t>Mỗi mục dẫn đúng trang, không 404</t>
  </si>
  <si>
    <t>TC019</t>
  </si>
  <si>
    <t>Gợi ý tìm kiếm có kết quả</t>
  </si>
  <si>
    <t>Gõ từ khóa có trong dữ liệu</t>
  </si>
  <si>
    <t>1-3 ký tự đầu của tên bot</t>
  </si>
  <si>
    <t>Danh sách gợi ý hợp lý, định dạng đúng</t>
  </si>
  <si>
    <t>TC020</t>
  </si>
  <si>
    <t>Tìm kiếm không có kết quả</t>
  </si>
  <si>
    <t>Gõ từ khóa không tồn tại</t>
  </si>
  <si>
    <t>zzzzqq</t>
  </si>
  <si>
    <t>Trả về rỗng hoặc thông báo, không lỗi</t>
  </si>
  <si>
    <t>TC021</t>
  </si>
  <si>
    <t>Trang About</t>
  </si>
  <si>
    <t>Mở about.php</t>
  </si>
  <si>
    <t>Nội dung hiển thị đúng, link hoạt động</t>
  </si>
  <si>
    <t>TC022</t>
  </si>
  <si>
    <t>Xem danh sách Gallery</t>
  </si>
  <si>
    <t>Mở gallery.php</t>
  </si>
  <si>
    <t>Ảnh tải đầy đủ, có phân nhóm</t>
  </si>
  <si>
    <t>TC023</t>
  </si>
  <si>
    <t>Lọc/ phân trang Gallery</t>
  </si>
  <si>
    <t>Dùng bộ lọc và chuyển trang</t>
  </si>
  <si>
    <t>Kết quả đúng bộ lọc, không trùng/mất ảnh</t>
  </si>
  <si>
    <t>TC024</t>
  </si>
  <si>
    <t>Mở nhóm ảnh hợp lệ</t>
  </si>
  <si>
    <t>Bấm vào một nhóm</t>
  </si>
  <si>
    <t>id hợp lệ</t>
  </si>
  <si>
    <t>Hiển thị các ảnh thuộc nhóm</t>
  </si>
  <si>
    <t>TC025</t>
  </si>
  <si>
    <t>Nhóm ảnh id không tồn tại / không hợp lệ</t>
  </si>
  <si>
    <t>Mở group_detail.php?id=999999 và id=abc</t>
  </si>
  <si>
    <t>id lạ</t>
  </si>
  <si>
    <t>Thông báo không tìm thấy, không lỗi PHP/SQL</t>
  </si>
  <si>
    <t>TC026</t>
  </si>
  <si>
    <t>Xem chi tiết Bot</t>
  </si>
  <si>
    <t>Mở bot_detail.php?id=&lt;hợp lệ&gt;</t>
  </si>
  <si>
    <t>Hiển thị thông tin, tag, điểm, bình luận</t>
  </si>
  <si>
    <t>TC027</t>
  </si>
  <si>
    <t>Bot id không tồn tại</t>
  </si>
  <si>
    <t>Mở id=999999 và id=' OR 1=1</t>
  </si>
  <si>
    <t>Xử lý an toàn, không lộ lỗi SQL</t>
  </si>
  <si>
    <t>TC028</t>
  </si>
  <si>
    <t>Chấm điểm hợp lệ</t>
  </si>
  <si>
    <t>Chọn điểm và gửi</t>
  </si>
  <si>
    <t>điểm 1..5</t>
  </si>
  <si>
    <t>Điểm được lưu, điểm trung bình cập nhật</t>
  </si>
  <si>
    <t>TC029</t>
  </si>
  <si>
    <t>Chấm điểm ngoài khoảng cho phép</t>
  </si>
  <si>
    <t>Sửa giá trị score trong DevTools thành 0, 6, -1, 99, 'abc'</t>
  </si>
  <si>
    <t>score bất hợp lệ</t>
  </si>
  <si>
    <t>Bị từ chối, không lưu</t>
  </si>
  <si>
    <t>TC030</t>
  </si>
  <si>
    <t>Thêm bình luận hợp lệ</t>
  </si>
  <si>
    <t>Nhập nội dung, gửi</t>
  </si>
  <si>
    <t>Bình luận 1 dòng</t>
  </si>
  <si>
    <t>Bình luận xuất hiện đúng người, đúng thời gian</t>
  </si>
  <si>
    <t>TC031</t>
  </si>
  <si>
    <t>Bình luận rỗng / chỉ khoảng trắng</t>
  </si>
  <si>
    <t>Gửi nội dung rỗng</t>
  </si>
  <si>
    <t>'   '</t>
  </si>
  <si>
    <t>Bị từ chối</t>
  </si>
  <si>
    <t>TC032</t>
  </si>
  <si>
    <t>Sửa bình luận của mình</t>
  </si>
  <si>
    <t>Có bình luận</t>
  </si>
  <si>
    <t>Sửa nội dung, lưu</t>
  </si>
  <si>
    <t>Nội dung cập nhật, hiện dấu 'đã sửa' (edited_at)</t>
  </si>
  <si>
    <t>TC033</t>
  </si>
  <si>
    <t>Xóa bình luận của mình</t>
  </si>
  <si>
    <t>Xóa</t>
  </si>
  <si>
    <t>Bình luận biến mất</t>
  </si>
  <si>
    <t>TC034</t>
  </si>
  <si>
    <t>Sửa/xóa bình luận của người khác (IDOR)</t>
  </si>
  <si>
    <t>2 tài khoản A, B</t>
  </si>
  <si>
    <t>Đăng nhập B, gửi POST edit/delete với comment_id của A</t>
  </si>
  <si>
    <t>comment_id của A</t>
  </si>
  <si>
    <t>Bị từ chối, bình luận của A không đổi</t>
  </si>
  <si>
    <t>TC035</t>
  </si>
  <si>
    <t>Bấm tim một ảnh, bấm lại</t>
  </si>
  <si>
    <t>Bật/tắt đúng, số lượng cập nhật, không tăng ảo</t>
  </si>
  <si>
    <t>TC036</t>
  </si>
  <si>
    <t>Gửi idea hợp lệ</t>
  </si>
  <si>
    <t>Điền form, gửi</t>
  </si>
  <si>
    <t>tiêu đề + mô tả</t>
  </si>
  <si>
    <t>Idea mới trạng thái open, xuất hiện trong danh sách; nhận gem nhiệm vụ</t>
  </si>
  <si>
    <t>AT05</t>
  </si>
  <si>
    <t>TC037</t>
  </si>
  <si>
    <t>Gửi idea thiếu trường bắt buộc</t>
  </si>
  <si>
    <t>Để trống tiêu đề/mô tả</t>
  </si>
  <si>
    <t>(trống)</t>
  </si>
  <si>
    <t>Báo lỗi, không lưu</t>
  </si>
  <si>
    <t>TC038</t>
  </si>
  <si>
    <t>Sửa idea của mình</t>
  </si>
  <si>
    <t>Có idea</t>
  </si>
  <si>
    <t>Sửa tiêu đề, lưu</t>
  </si>
  <si>
    <t>Nội dung cập nhật</t>
  </si>
  <si>
    <t>TC039</t>
  </si>
  <si>
    <t>Sửa idea của người khác</t>
  </si>
  <si>
    <t>2 tài khoản</t>
  </si>
  <si>
    <t>Mở edit_idea.php?id=&lt;idea của người khác&gt;</t>
  </si>
  <si>
    <t>id của người khác</t>
  </si>
  <si>
    <t>TC040</t>
  </si>
  <si>
    <t>Xóa idea của mình</t>
  </si>
  <si>
    <t>Xóa, xác nhận</t>
  </si>
  <si>
    <t>Idea biến mất</t>
  </si>
  <si>
    <t>TC041</t>
  </si>
  <si>
    <t>Xóa idea của người khác</t>
  </si>
  <si>
    <t>POST delete_idea_id của người khác</t>
  </si>
  <si>
    <t>TC042</t>
  </si>
  <si>
    <t>Upvote idea lần đầu</t>
  </si>
  <si>
    <t>Bấm upvote</t>
  </si>
  <si>
    <t>Số upvote +1</t>
  </si>
  <si>
    <t>TC043</t>
  </si>
  <si>
    <t>Upvote cùng idea hai lần / bấm nhanh</t>
  </si>
  <si>
    <t>Đã upvote</t>
  </si>
  <si>
    <t>Bấm lại và bấm đúp nhanh</t>
  </si>
  <si>
    <t>Không tăng quá 1 lượt/người; không nhận gem trùng</t>
  </si>
  <si>
    <t>TC044</t>
  </si>
  <si>
    <t>Chuyển open → in_progress → completed</t>
  </si>
  <si>
    <t>Đặt in_progress, rồi completed, chọn bot và chế độ hiển thị</t>
  </si>
  <si>
    <t>bot_visibility published/unlisted</t>
  </si>
  <si>
    <t>Trạng thái đổi đúng, completed_at được ghi</t>
  </si>
  <si>
    <t>TC045</t>
  </si>
  <si>
    <t>User thường đổi trạng thái idea</t>
  </si>
  <si>
    <t>POST idea_complete</t>
  </si>
  <si>
    <t>TC046</t>
  </si>
  <si>
    <t>Link unlisted không hợp lệ</t>
  </si>
  <si>
    <t>Nhập unlisted_link 'javascript:alert(1)'</t>
  </si>
  <si>
    <t>javascript:</t>
  </si>
  <si>
    <t>Bị từ chối (chỉ nhận http/https)</t>
  </si>
  <si>
    <t>TC047</t>
  </si>
  <si>
    <t>Hiển thị thông báo msg / error</t>
  </si>
  <si>
    <t>Mở ideas.php?msg=&lt;script&gt;alert(1)&lt;/script&gt;</t>
  </si>
  <si>
    <t>tham số msg</t>
  </si>
  <si>
    <t>Được escape, không chạy script</t>
  </si>
  <si>
    <t>TC048</t>
  </si>
  <si>
    <t>Danh sách ideas theo thứ tự/ lọc</t>
  </si>
  <si>
    <t>Xem và lọc theo trạng thái</t>
  </si>
  <si>
    <t>Đúng bộ lọc và thứ tự</t>
  </si>
  <si>
    <t>TC049</t>
  </si>
  <si>
    <t>Tạo commission hợp lệ</t>
  </si>
  <si>
    <t>Điền title, appearance, context, số tiền, gửi</t>
  </si>
  <si>
    <t>title ≤150, nội dung ≤3000</t>
  </si>
  <si>
    <t>Tạo commission, sang bước thanh toán</t>
  </si>
  <si>
    <t>TC050</t>
  </si>
  <si>
    <t>Thiếu trường bắt buộc</t>
  </si>
  <si>
    <t>Để trống title hoặc appearance hoặc context</t>
  </si>
  <si>
    <t>Báo 'Please fill in all required fields', không tạo</t>
  </si>
  <si>
    <t>TC051</t>
  </si>
  <si>
    <t>Số tiền biên 0, 4.99, 5, 1000, 1001, âm</t>
  </si>
  <si>
    <t>Nhập các giá trị số tiền</t>
  </si>
  <si>
    <t>0; 4.99; 5; 1000; 1001; -5</t>
  </si>
  <si>
    <t>Giá trị bị kẹp trong 0–1000; dưới 5 thì luôn private</t>
  </si>
  <si>
    <t>TC052</t>
  </si>
  <si>
    <t>Dùng voucher Published</t>
  </si>
  <si>
    <t>Có voucher publish</t>
  </si>
  <si>
    <t>Chọn use_voucher=publish</t>
  </si>
  <si>
    <t>Dùng 1 voucher, commission public, amount = 5</t>
  </si>
  <si>
    <t>TC053</t>
  </si>
  <si>
    <t>Dùng voucher khi không có</t>
  </si>
  <si>
    <t>Không có voucher</t>
  </si>
  <si>
    <t>Chọn voucher unlisted</t>
  </si>
  <si>
    <t>Báo 'No Unlisted commission voucher available'</t>
  </si>
  <si>
    <t>TC054</t>
  </si>
  <si>
    <t>Có commission chờ</t>
  </si>
  <si>
    <t>Bấm confirm_payment</t>
  </si>
  <si>
    <t>Trạng thái chuyển đúng, hiển thị trong danh sách của tôi</t>
  </si>
  <si>
    <t>TC055</t>
  </si>
  <si>
    <t>Xác nhận thanh toán commission của người khác</t>
  </si>
  <si>
    <t>POST confirm_payment với id của người khác</t>
  </si>
  <si>
    <t>TC056</t>
  </si>
  <si>
    <t>Upload ảnh minh họa hợp lệ</t>
  </si>
  <si>
    <t>Chọn jpg &lt; 10MB</t>
  </si>
  <si>
    <t>jpg 2MB</t>
  </si>
  <si>
    <t>Upload thành công, ảnh hiển thị</t>
  </si>
  <si>
    <t>TC057</t>
  </si>
  <si>
    <t>image_url không hợp lệ</t>
  </si>
  <si>
    <t>Nhập image_url 'javascript:alert(1)' hoặc 'ftp://x'</t>
  </si>
  <si>
    <t>Bị từ chối, chỉ nhận http/https</t>
  </si>
  <si>
    <t>TC058</t>
  </si>
  <si>
    <t>Chỉ thấy commission của mình</t>
  </si>
  <si>
    <t>Mở my_commissions.php bằng từng tài khoản</t>
  </si>
  <si>
    <t>Mỗi người chỉ thấy commission của mình</t>
  </si>
  <si>
    <t>TC059</t>
  </si>
  <si>
    <t>Điểm danh lần đầu trong ngày</t>
  </si>
  <si>
    <t>Bấm Daily check-in</t>
  </si>
  <si>
    <t>+5 gem, nút chuyển sang đã nhận</t>
  </si>
  <si>
    <t>TC060</t>
  </si>
  <si>
    <t>Điểm danh lần 2 trong ngày</t>
  </si>
  <si>
    <t>Đã điểm danh</t>
  </si>
  <si>
    <t>Bấm lại / gửi lại POST</t>
  </si>
  <si>
    <t>Không cộng thêm gem</t>
  </si>
  <si>
    <t>TC061</t>
  </si>
  <si>
    <t>Nhiệm vụ đạt mức tối đa/ngày</t>
  </si>
  <si>
    <t>Upvote 21 idea khác nhau trong ngày</t>
  </si>
  <si>
    <t>daily_max = 20</t>
  </si>
  <si>
    <t>Chỉ nhận gem cho 20 lượt đầu</t>
  </si>
  <si>
    <t>TC062</t>
  </si>
  <si>
    <t>Nhận gem đúng số lượng</t>
  </si>
  <si>
    <t>Thực hiện từng nhiệm vụ: gửi idea, upload community, commission</t>
  </si>
  <si>
    <t>10 / 15 / 25 gem</t>
  </si>
  <si>
    <t>Cộng đúng số gem theo định nghĩa</t>
  </si>
  <si>
    <t>TC063</t>
  </si>
  <si>
    <t>Mua khung avatar đủ gem</t>
  </si>
  <si>
    <t>Đủ gem (≥25)</t>
  </si>
  <si>
    <t>Mua Gold Avatar Ring</t>
  </si>
  <si>
    <t>25 gem</t>
  </si>
  <si>
    <t>Trừ đúng gem, vật phẩm vào kho, khung được kích hoạt</t>
  </si>
  <si>
    <t>TC064</t>
  </si>
  <si>
    <t>Mua khi không đủ gem</t>
  </si>
  <si>
    <t>Gem thấp hơn giá</t>
  </si>
  <si>
    <t>Báo 'Not enough gems', gem không đổi</t>
  </si>
  <si>
    <t>AT06</t>
  </si>
  <si>
    <t>TC065</t>
  </si>
  <si>
    <t>Bấm Mua hai lần liên tiếp rất nhanh</t>
  </si>
  <si>
    <t>Gem vừa đủ cho 1 lần</t>
  </si>
  <si>
    <t>Bấm đúp hoặc gửi 2 request đồng thời</t>
  </si>
  <si>
    <t>Chỉ trừ 1 lần, không âm gem, không nhân đôi vật phẩm</t>
  </si>
  <si>
    <t>TC066</t>
  </si>
  <si>
    <t>Đổi / gỡ khung avatar</t>
  </si>
  <si>
    <t>Đã có khung</t>
  </si>
  <si>
    <t>Trang bị khung khác, rồi gỡ</t>
  </si>
  <si>
    <t>Avatar hiển thị đúng ở profile/bình luận</t>
  </si>
  <si>
    <t>TC067</t>
  </si>
  <si>
    <t>Trang bị khung chưa sở hữu</t>
  </si>
  <si>
    <t>Chưa mua</t>
  </si>
  <si>
    <t>POST equip_key của khung chưa mua</t>
  </si>
  <si>
    <t>TC068</t>
  </si>
  <si>
    <t>Voucher Published tối đa 1/tháng</t>
  </si>
  <si>
    <t>Đủ gem</t>
  </si>
  <si>
    <t>Mua voucher Published lần 2 trong tháng</t>
  </si>
  <si>
    <t>Báo 'Monthly limit reached (1 per month)'</t>
  </si>
  <si>
    <t>TC069</t>
  </si>
  <si>
    <t>Voucher Unlisted tối đa 3/tháng</t>
  </si>
  <si>
    <t>Mua lần thứ 4</t>
  </si>
  <si>
    <t>Báo vượt giới hạn 3/tháng</t>
  </si>
  <si>
    <t>TC070</t>
  </si>
  <si>
    <t>Mua Image Set và gửi link ảnh</t>
  </si>
  <si>
    <t>Mua imageset_60, nhập image_set_url hợp lệ</t>
  </si>
  <si>
    <t>https://...</t>
  </si>
  <si>
    <t>Tạo yêu cầu, trừ gem</t>
  </si>
  <si>
    <t>TC071</t>
  </si>
  <si>
    <t>Image Set với URL không hợp lệ</t>
  </si>
  <si>
    <t>Đã mua</t>
  </si>
  <si>
    <t>Nhập URL sai</t>
  </si>
  <si>
    <t>not a url</t>
  </si>
  <si>
    <t>TC072</t>
  </si>
  <si>
    <t>Xem bài đã duyệt</t>
  </si>
  <si>
    <t>Mở community_gallery.php</t>
  </si>
  <si>
    <t>Chỉ hiện bài status = approved</t>
  </si>
  <si>
    <t>TC073</t>
  </si>
  <si>
    <t>Không hiện bài pending/rejected</t>
  </si>
  <si>
    <t>Có bài pending</t>
  </si>
  <si>
    <t>Mở trang với tài khoản khác</t>
  </si>
  <si>
    <t>Bài pending/rejected không hiển thị</t>
  </si>
  <si>
    <t>TC074</t>
  </si>
  <si>
    <t>Upload ảnh hợp lệ</t>
  </si>
  <si>
    <t>Chọn jpg/png/gif/webp &lt; 10MB, gửi</t>
  </si>
  <si>
    <t>jpg 1MB</t>
  </si>
  <si>
    <t>Bài ở trạng thái pending, nhận gem nhiệm vụ</t>
  </si>
  <si>
    <t>TC075</t>
  </si>
  <si>
    <t>Upload file quá 10MB</t>
  </si>
  <si>
    <t>Chọn ảnh 11MB</t>
  </si>
  <si>
    <t>11MB</t>
  </si>
  <si>
    <t>Bị từ chối kèm thông báo</t>
  </si>
  <si>
    <t>TC076</t>
  </si>
  <si>
    <t>Upload file không phải ảnh</t>
  </si>
  <si>
    <t>Chọn .txt, .pdf, .exe</t>
  </si>
  <si>
    <t>TC077</t>
  </si>
  <si>
    <t>Thả reaction like/love/fire</t>
  </si>
  <si>
    <t>Chọn từng reaction, đổi reaction</t>
  </si>
  <si>
    <t>Mỗi người 1 reaction/bài, đổi được</t>
  </si>
  <si>
    <t>TC078</t>
  </si>
  <si>
    <t>Reaction giá trị không hợp lệ</t>
  </si>
  <si>
    <t>Sửa reaction_type thành 'hack'</t>
  </si>
  <si>
    <t>hack</t>
  </si>
  <si>
    <t>TC079</t>
  </si>
  <si>
    <t>Admin duyệt bài</t>
  </si>
  <si>
    <t>Admin, có bài pending</t>
  </si>
  <si>
    <t>Duyệt</t>
  </si>
  <si>
    <t>Trạng thái approved, bài hiện ở gallery</t>
  </si>
  <si>
    <t>TC080</t>
  </si>
  <si>
    <t>User thường POST duyệt bài</t>
  </si>
  <si>
    <t>Gửi request duyệt</t>
  </si>
  <si>
    <t>Bị từ chối 403</t>
  </si>
  <si>
    <t>TC081</t>
  </si>
  <si>
    <t>Đổi avatar hợp lệ / không hợp lệ</t>
  </si>
  <si>
    <t>Upload jpg rồi .php đổi tên .jpg</t>
  </si>
  <si>
    <t>Ảnh thật được chấp nhận; file giả bị từ chối</t>
  </si>
  <si>
    <t>TC082</t>
  </si>
  <si>
    <t>Xem trang người khác</t>
  </si>
  <si>
    <t>Mở user.php?id=&lt;hợp lệ&gt;</t>
  </si>
  <si>
    <t>Hiển thị thông tin công khai, không lộ email/mật khẩu</t>
  </si>
  <si>
    <t>TC083</t>
  </si>
  <si>
    <t>Sửa thông tin Bot</t>
  </si>
  <si>
    <t>Sửa tên/mô tả/tag, lưu</t>
  </si>
  <si>
    <t>Dữ liệu cập nhật, hiển thị đúng ở trang công khai</t>
  </si>
  <si>
    <t>TC084</t>
  </si>
  <si>
    <t>Thêm Bot hợp lệ</t>
  </si>
  <si>
    <t>Điền form thêm bot, gửi</t>
  </si>
  <si>
    <t>Bot mới xuất hiện ở Gallery</t>
  </si>
  <si>
    <t>TC085</t>
  </si>
  <si>
    <t>Tạo và gán nhóm ảnh</t>
  </si>
  <si>
    <t>Tạo nhóm, gán bot/ảnh</t>
  </si>
  <si>
    <t>Nhóm hiển thị ở Gallery và group_detail</t>
  </si>
  <si>
    <t>TC086</t>
  </si>
  <si>
    <t>Mở admin_stats.php</t>
  </si>
  <si>
    <t>Số liệu khớp dữ liệu thực trong DB</t>
  </si>
  <si>
    <t>TC087</t>
  </si>
  <si>
    <t>POST không có CSRF token</t>
  </si>
  <si>
    <t>Gửi POST (Postman/curl) không kèm csrf_token</t>
  </si>
  <si>
    <t>Trả 403 'Security Error'</t>
  </si>
  <si>
    <t>TC088</t>
  </si>
  <si>
    <t>POST với token sai</t>
  </si>
  <si>
    <t>Sửa giá trị csrf_token</t>
  </si>
  <si>
    <t>Trả 403</t>
  </si>
  <si>
    <t>TC089</t>
  </si>
  <si>
    <t>XSS lưu trong bình luận</t>
  </si>
  <si>
    <t>Gửi &lt;script&gt;alert(1)&lt;/script&gt; và &lt;img src=x onerror=alert(1)&gt;</t>
  </si>
  <si>
    <t>payload XSS</t>
  </si>
  <si>
    <t>Hiển thị dạng văn bản, không chạy script</t>
  </si>
  <si>
    <t>AT04</t>
  </si>
  <si>
    <t>TC090</t>
  </si>
  <si>
    <t>XSS trong idea, bio, tiêu đề commission</t>
  </si>
  <si>
    <t>Nhập payload XSS vào từng trường</t>
  </si>
  <si>
    <t>Được escape ở mọi nơi hiển thị</t>
  </si>
  <si>
    <t>TC091</t>
  </si>
  <si>
    <t>XSS phản chiếu qua tham số URL</t>
  </si>
  <si>
    <t>Gắn payload vào ?q, ?msg, ?error, ?tab</t>
  </si>
  <si>
    <t>Không chạy script</t>
  </si>
  <si>
    <t>TC092</t>
  </si>
  <si>
    <t>SQLi qua tham số id</t>
  </si>
  <si>
    <t>Thử id=1' , id=1 OR 1=1, id=1;--</t>
  </si>
  <si>
    <t>payload SQLi</t>
  </si>
  <si>
    <t>Không lỗi SQL, không lộ dữ liệu</t>
  </si>
  <si>
    <t>TC093</t>
  </si>
  <si>
    <t>SQLi qua form đăng nhập</t>
  </si>
  <si>
    <t>Nhập ' OR '1'='1 vào email/mật khẩu</t>
  </si>
  <si>
    <t>Đăng nhập thất bại bình thường</t>
  </si>
  <si>
    <t>TC094</t>
  </si>
  <si>
    <t>SQLi qua ô tìm kiếm</t>
  </si>
  <si>
    <t>Nhập payload SQLi vào ô tìm kiếm</t>
  </si>
  <si>
    <t>Không lỗi SQL</t>
  </si>
  <si>
    <t>TC095</t>
  </si>
  <si>
    <t>Đổi đuôi file thực thi</t>
  </si>
  <si>
    <t>Upload shell.php đổi tên shell.jpg</t>
  </si>
  <si>
    <t>shell.jpg</t>
  </si>
  <si>
    <t>Bị từ chối (kiểm tra MIME thật)</t>
  </si>
  <si>
    <t>TC096</t>
  </si>
  <si>
    <t>File ảnh kèm mã PHP</t>
  </si>
  <si>
    <t>Upload ảnh có đoạn &lt;?php ?&gt; ở cuối rồi truy cập URL</t>
  </si>
  <si>
    <t>Mã PHP không được thực thi (.htaccess trong uploads)</t>
  </si>
  <si>
    <t>TC097</t>
  </si>
  <si>
    <t>Biến thể tag cấm</t>
  </si>
  <si>
    <t>Nhập 'Net-ori', 'NETORI', 'n.t.r', ' ntr '</t>
  </si>
  <si>
    <t>các biến thể</t>
  </si>
  <si>
    <t>Bị chặn theo chuẩn hóa; ghi nhận biến thể lọt qua</t>
  </si>
  <si>
    <t>TC098</t>
  </si>
  <si>
    <t>Chrome / Firefox / Edge</t>
  </si>
  <si>
    <t>Chạy luồng chính trên 3 trình duyệt</t>
  </si>
  <si>
    <t>Hiển thị và chức năng nhất quán</t>
  </si>
  <si>
    <t>TC099</t>
  </si>
  <si>
    <t>Đo bằng Lighthouse/DevTools các trang chính</t>
  </si>
  <si>
    <t>LCP/Thời gian tải trong ngưỡng chấp nhận do nhóm đặt trong Test Plan</t>
  </si>
  <si>
    <t>Hiệu năng</t>
  </si>
  <si>
    <t>TC100</t>
  </si>
  <si>
    <t>Thông tin trong link reset</t>
  </si>
  <si>
    <t>APP_ENV='development' ở trang quên mật khẩu</t>
  </si>
  <si>
    <t>Ghi nhận link reset hiện trên màn hình; bắt buộc đặt 'production' khi triển khai</t>
  </si>
  <si>
    <t>Automation Test – ANYN</t>
  </si>
  <si>
    <t>Công cụ: Playwright (hoặc Selenium) + PyTest. Mỗi script chạy 3 lần. Mã nguồn lưu ở 06_Automation_Test.</t>
  </si>
  <si>
    <t>AT ID</t>
  </si>
  <si>
    <t>Tên test case (tự động)</t>
  </si>
  <si>
    <t>Chức năng (tự động)</t>
  </si>
  <si>
    <t>File script</t>
  </si>
  <si>
    <t>Công cụ</t>
  </si>
  <si>
    <t>Người làm (tự động)</t>
  </si>
  <si>
    <t>Lần 1</t>
  </si>
  <si>
    <t>Lần 2</t>
  </si>
  <si>
    <t>Lần 3</t>
  </si>
  <si>
    <t>Thời gian chạy (s)</t>
  </si>
  <si>
    <t>Ngày chạy</t>
  </si>
  <si>
    <t>Bằng chứng (log/ảnh)</t>
  </si>
  <si>
    <t>tests/test_login_success.py</t>
  </si>
  <si>
    <t>Playwright + PyTest</t>
  </si>
  <si>
    <t>tests/test_login_lockout.py</t>
  </si>
  <si>
    <t>tests/test_guest_admin_block.py</t>
  </si>
  <si>
    <t>tests/test_comment_xss.py</t>
  </si>
  <si>
    <t>tests/test_submit_idea.py</t>
  </si>
  <si>
    <t>tests/test_shop_insufficient_gems.py</t>
  </si>
  <si>
    <t>Tổng hợp</t>
  </si>
  <si>
    <t>Số script</t>
  </si>
  <si>
    <t>Pass (lần 3)</t>
  </si>
  <si>
    <t>Fail (lần 3)</t>
  </si>
  <si>
    <t>Tỷ lệ Pass</t>
  </si>
  <si>
    <t>Lưu ý: Cột 'TC ID' phải trùng cột 'Tự động hóa' ở sheet Test Cases. Script lúc Pass lúc Fail (flaky) phải sửa trước khi nộp.</t>
  </si>
  <si>
    <t>Kiểm thử phi chức năng – ANYN</t>
  </si>
  <si>
    <t>A: Security · B: Performance. Chỉ test trên localhost của nhóm.</t>
  </si>
  <si>
    <t>A. SECURITY TESTING</t>
  </si>
  <si>
    <t>ID</t>
  </si>
  <si>
    <t>Hạng mục</t>
  </si>
  <si>
    <t>Mô tả kiểm tra</t>
  </si>
  <si>
    <t>TC liên quan</t>
  </si>
  <si>
    <t>Kết quả</t>
  </si>
  <si>
    <t>Mức rủi ro</t>
  </si>
  <si>
    <t>Phát hiện / Nhận xét</t>
  </si>
  <si>
    <t>Khuyến nghị</t>
  </si>
  <si>
    <t>Bằng chứng</t>
  </si>
  <si>
    <t>NF-S01</t>
  </si>
  <si>
    <t>CSRF</t>
  </si>
  <si>
    <t>POST thiếu/sai csrf_token phải bị chặn 403</t>
  </si>
  <si>
    <t>Postman / curl</t>
  </si>
  <si>
    <t>NF-S02</t>
  </si>
  <si>
    <t>XSS (lưu và phản chiếu)</t>
  </si>
  <si>
    <t>Payload trong bình luận, idea, bio, tiêu đề commission, tham số URL</t>
  </si>
  <si>
    <t>Trình duyệt, DevTools</t>
  </si>
  <si>
    <t>NF-S03</t>
  </si>
  <si>
    <t>SQL Injection</t>
  </si>
  <si>
    <t>Payload ở id, form đăng nhập, ô tìm kiếm</t>
  </si>
  <si>
    <t>Thủ công, OWASP ZAP (tùy chọn)</t>
  </si>
  <si>
    <t>NF-S04</t>
  </si>
  <si>
    <t>Upload tệp</t>
  </si>
  <si>
    <t>Đổi đuôi, ảnh chứa mã PHP, kích thước 0B/10MB</t>
  </si>
  <si>
    <t>Thủ công</t>
  </si>
  <si>
    <t>NF-S05</t>
  </si>
  <si>
    <t>Phân quyền / IDOR</t>
  </si>
  <si>
    <t>Sửa/xóa dữ liệu người khác, user vào trang admin</t>
  </si>
  <si>
    <t>F07, F16, F19, F20</t>
  </si>
  <si>
    <t>Postman, trình duyệt</t>
  </si>
  <si>
    <t>NF-S06</t>
  </si>
  <si>
    <t>Chống dò mật khẩu</t>
  </si>
  <si>
    <t>Khóa sau 5 lần/email, 20 lần/IP trong 15 phút</t>
  </si>
  <si>
    <t>Thủ công / script</t>
  </si>
  <si>
    <t>NF-S07</t>
  </si>
  <si>
    <t>Quản lý phiên và cookie</t>
  </si>
  <si>
    <t>HttpOnly, SameSite, Secure; đổi session ID sau đăng nhập</t>
  </si>
  <si>
    <t>F52, F02</t>
  </si>
  <si>
    <t>DevTools</t>
  </si>
  <si>
    <t>NF-S08</t>
  </si>
  <si>
    <t>Lộ thông tin và cấu hình</t>
  </si>
  <si>
    <t>Stack trace, DB root không mật khẩu, link reset ở chế độ development</t>
  </si>
  <si>
    <t>Đọc cấu hình, DevTools</t>
  </si>
  <si>
    <t>NF-S09</t>
  </si>
  <si>
    <t>Token đặt lại mật khẩu</t>
  </si>
  <si>
    <t>Token dùng một lần, hết hạn, bị sửa</t>
  </si>
  <si>
    <t>NF-S10</t>
  </si>
  <si>
    <t>Bộ lọc nội dung</t>
  </si>
  <si>
    <t>Biến thể từ khóa bị cấm</t>
  </si>
  <si>
    <t>B. PERFORMANCE TESTING</t>
  </si>
  <si>
    <t>Trang / Luồng</t>
  </si>
  <si>
    <t>Kịch bản</t>
  </si>
  <si>
    <t>Số người dùng ảo</t>
  </si>
  <si>
    <t>TB phản hồi (ms)</t>
  </si>
  <si>
    <t>P95 (ms)</t>
  </si>
  <si>
    <t>Tỷ lệ lỗi (%)</t>
  </si>
  <si>
    <t>Điểm Lighthouse</t>
  </si>
  <si>
    <t>Nhận xét</t>
  </si>
  <si>
    <t>NF-P01</t>
  </si>
  <si>
    <t>Trang chủ (index.php)</t>
  </si>
  <si>
    <t>Tải trang 1 người dùng</t>
  </si>
  <si>
    <t>Lighthouse</t>
  </si>
  <si>
    <t>NF-P02</t>
  </si>
  <si>
    <t>Gallery (gallery.php)</t>
  </si>
  <si>
    <t>NF-P03</t>
  </si>
  <si>
    <t>Chi tiết bot (bot_detail.php)</t>
  </si>
  <si>
    <t>NF-P04</t>
  </si>
  <si>
    <t>Đăng nhập (login.php)</t>
  </si>
  <si>
    <t>10 người dùng ảo đồng thời</t>
  </si>
  <si>
    <t>JMeter hoặc Locust</t>
  </si>
  <si>
    <t>NF-P05</t>
  </si>
  <si>
    <t>Gallery</t>
  </si>
  <si>
    <t>10 / 25 / 50 người dùng ảo trong 1 phút</t>
  </si>
  <si>
    <t>NF-P06</t>
  </si>
  <si>
    <t>25 người dùng ảo, truy vấn liên tục</t>
  </si>
  <si>
    <t>Ngưỡng đề xuất: phản hồi TB ≤ 1000 ms, P95 ≤ 2000 ms, lỗi &lt; 1%, điểm Lighthouse Performance ≥ 70.</t>
  </si>
  <si>
    <t>Bug Log – ANYN</t>
  </si>
  <si>
    <t>Mã BUG có sẵn. Chọn TC ID thì Module/Chức năng tự hiện. Nền vàng: nhập. Khang soát chất lượng mỗi tuần.</t>
  </si>
  <si>
    <t>Module (tự động)</t>
  </si>
  <si>
    <t>Tiêu đề lỗi</t>
  </si>
  <si>
    <t>Các bước tái hiện</t>
  </si>
  <si>
    <t>Severity</t>
  </si>
  <si>
    <t>Priority</t>
  </si>
  <si>
    <t>Người báo</t>
  </si>
  <si>
    <t>Người sửa</t>
  </si>
  <si>
    <t>Ngày báo</t>
  </si>
  <si>
    <t>Ngày đóng</t>
  </si>
  <si>
    <t>Tuổi lỗi (ngày)</t>
  </si>
  <si>
    <t>Bằng chứng (ảnh/video)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</si>
  <si>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</si>
  <si>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</si>
  <si>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</si>
  <si>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</si>
  <si>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</si>
  <si>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</si>
  <si>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</si>
  <si>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</si>
  <si>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</si>
  <si>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</si>
  <si>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</si>
  <si>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</si>
  <si>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</si>
  <si>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</si>
  <si>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</si>
  <si>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</si>
  <si>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</si>
  <si>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</si>
  <si>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</si>
  <si>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</si>
  <si>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</si>
  <si>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</si>
  <si>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</si>
  <si>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</si>
  <si>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</si>
  <si>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BUG-026</t>
  </si>
  <si>
    <t>BUG-027</t>
  </si>
  <si>
    <t>BUG-028</t>
  </si>
  <si>
    <t>BUG-029</t>
  </si>
  <si>
    <t>BUG-030</t>
  </si>
  <si>
    <t>BUG-031</t>
  </si>
  <si>
    <t>BUG-032</t>
  </si>
  <si>
    <t>BUG-033</t>
  </si>
  <si>
    <t>BUG-034</t>
  </si>
  <si>
    <t>BUG-035</t>
  </si>
  <si>
    <t>BUG-036</t>
  </si>
  <si>
    <t>BUG-037</t>
  </si>
  <si>
    <t>BUG-038</t>
  </si>
  <si>
    <t>BUG-039</t>
  </si>
  <si>
    <t>BUG-040</t>
  </si>
  <si>
    <t>BUG-041</t>
  </si>
  <si>
    <t>BUG-042</t>
  </si>
  <si>
    <t>BUG-043</t>
  </si>
  <si>
    <t>BUG-044</t>
  </si>
  <si>
    <t>BUG-045</t>
  </si>
  <si>
    <t>BUG-046</t>
  </si>
  <si>
    <t>BUG-047</t>
  </si>
  <si>
    <t>BUG-048</t>
  </si>
  <si>
    <t>BUG-049</t>
  </si>
  <si>
    <t>BUG-050</t>
  </si>
  <si>
    <t>BUG-051</t>
  </si>
  <si>
    <t>BUG-052</t>
  </si>
  <si>
    <t>BUG-053</t>
  </si>
  <si>
    <t>BUG-054</t>
  </si>
  <si>
    <t>BUG-055</t>
  </si>
  <si>
    <t>BUG-056</t>
  </si>
  <si>
    <t>BUG-057</t>
  </si>
  <si>
    <t>BUG-058</t>
  </si>
  <si>
    <t>BUG-059</t>
  </si>
  <si>
    <t>BUG-060</t>
  </si>
  <si>
    <t>BUG-061</t>
  </si>
  <si>
    <t>BUG-062</t>
  </si>
  <si>
    <t>BUG-063</t>
  </si>
  <si>
    <t>BUG-064</t>
  </si>
  <si>
    <t>BUG-065</t>
  </si>
  <si>
    <t>BUG-066</t>
  </si>
  <si>
    <t>BUG-067</t>
  </si>
  <si>
    <t>BUG-068</t>
  </si>
  <si>
    <t>BUG-069</t>
  </si>
  <si>
    <t>BUG-070</t>
  </si>
  <si>
    <t>BUG-071</t>
  </si>
  <si>
    <t>BUG-072</t>
  </si>
  <si>
    <t>BUG-073</t>
  </si>
  <si>
    <t>BUG-074</t>
  </si>
  <si>
    <t>BUG-075</t>
  </si>
  <si>
    <t>BUG-076</t>
  </si>
  <si>
    <t>BUG-077</t>
  </si>
  <si>
    <t>BUG-078</t>
  </si>
  <si>
    <t>BUG-079</t>
  </si>
  <si>
    <t>BUG-080</t>
  </si>
  <si>
    <t>BUG-081</t>
  </si>
  <si>
    <t>BUG-082</t>
  </si>
  <si>
    <t>BUG-083</t>
  </si>
  <si>
    <t>BUG-084</t>
  </si>
  <si>
    <t>BUG-085</t>
  </si>
  <si>
    <t>BUG-086</t>
  </si>
  <si>
    <t>BUG-087</t>
  </si>
  <si>
    <t>BUG-088</t>
  </si>
  <si>
    <t>BUG-089</t>
  </si>
  <si>
    <t>BUG-090</t>
  </si>
  <si>
    <t>BUG-091</t>
  </si>
  <si>
    <t>BUG-092</t>
  </si>
  <si>
    <t>BUG-093</t>
  </si>
  <si>
    <t>BUG-094</t>
  </si>
  <si>
    <t>BUG-095</t>
  </si>
  <si>
    <t>BUG-096</t>
  </si>
  <si>
    <t>BUG-097</t>
  </si>
  <si>
    <t>BUG-098</t>
  </si>
  <si>
    <t>BUG-099</t>
  </si>
  <si>
    <t>BUG-100</t>
  </si>
  <si>
    <t>BUG-101</t>
  </si>
  <si>
    <t>BUG-102</t>
  </si>
  <si>
    <t>BUG-103</t>
  </si>
  <si>
    <t>BUG-104</t>
  </si>
  <si>
    <t>BUG-105</t>
  </si>
  <si>
    <t>BUG-106</t>
  </si>
  <si>
    <t>BUG-107</t>
  </si>
  <si>
    <t>BUG-108</t>
  </si>
  <si>
    <t>BUG-109</t>
  </si>
  <si>
    <t>BUG-110</t>
  </si>
  <si>
    <t>BUG-111</t>
  </si>
  <si>
    <t>BUG-112</t>
  </si>
  <si>
    <t>BUG-113</t>
  </si>
  <si>
    <t>BUG-114</t>
  </si>
  <si>
    <t>BUG-115</t>
  </si>
  <si>
    <t>BUG-116</t>
  </si>
  <si>
    <t>BUG-117</t>
  </si>
  <si>
    <t>BUG-118</t>
  </si>
  <si>
    <t>BUG-119</t>
  </si>
  <si>
    <t>BUG-120</t>
  </si>
  <si>
    <t>BUG-121</t>
  </si>
  <si>
    <t>BUG-122</t>
  </si>
  <si>
    <t>BUG-123</t>
  </si>
  <si>
    <t>BUG-124</t>
  </si>
  <si>
    <t>BUG-125</t>
  </si>
  <si>
    <t>BUG-126</t>
  </si>
  <si>
    <t>BUG-127</t>
  </si>
  <si>
    <t>BUG-128</t>
  </si>
  <si>
    <t>BUG-129</t>
  </si>
  <si>
    <t>BUG-130</t>
  </si>
  <si>
    <t>BUG-131</t>
  </si>
  <si>
    <t>BUG-132</t>
  </si>
  <si>
    <t>BUG-133</t>
  </si>
  <si>
    <t>BUG-134</t>
  </si>
  <si>
    <t>BUG-135</t>
  </si>
  <si>
    <t>BUG-136</t>
  </si>
  <si>
    <t>BUG-137</t>
  </si>
  <si>
    <t>BUG-138</t>
  </si>
  <si>
    <t>BUG-139</t>
  </si>
  <si>
    <t>BUG-140</t>
  </si>
  <si>
    <t>BUG-141</t>
  </si>
  <si>
    <t>BUG-142</t>
  </si>
  <si>
    <t>BUG-143</t>
  </si>
  <si>
    <t>BUG-144</t>
  </si>
  <si>
    <t>BUG-145</t>
  </si>
  <si>
    <t>BUG-146</t>
  </si>
  <si>
    <t>BUG-147</t>
  </si>
  <si>
    <t>BUG-148</t>
  </si>
  <si>
    <t>BUG-149</t>
  </si>
  <si>
    <t>BUG-150</t>
  </si>
  <si>
    <t>Contribution Log – ANYN</t>
  </si>
  <si>
    <t>Mỗi lần làm việc ghi 1 dòng. Chọn tên thì Vai trò và Tuần tự điền. Ví dụ: 07/10/2026 · Thái Hoàng Minh · Lập Test Plan bản 1 · 02_Test_Plan.docx · 3 giờ.</t>
  </si>
  <si>
    <t>Ngày</t>
  </si>
  <si>
    <t>Tuần (tự động)</t>
  </si>
  <si>
    <t>Thành viên</t>
  </si>
  <si>
    <t>Vai trò (tự động)</t>
  </si>
  <si>
    <t>Công việc đã làm</t>
  </si>
  <si>
    <t>Sản phẩm / Bằng chứng</t>
  </si>
  <si>
    <t>Số giờ</t>
  </si>
  <si>
    <t>QA Lead duyệt</t>
  </si>
  <si>
    <t>Thành viên (tự động)</t>
  </si>
  <si>
    <t>Tổng giờ</t>
  </si>
  <si>
    <t>Số lần ghi</t>
  </si>
  <si>
    <t>Số lần được duyệt</t>
  </si>
  <si>
    <t>Test Summary – ANYN (tự động)</t>
  </si>
  <si>
    <t>Chỉ chép số vào báo cáo, không gõ đè.</t>
  </si>
  <si>
    <t>1. Tổng quan test case</t>
  </si>
  <si>
    <t>Tổng số TC</t>
  </si>
  <si>
    <t>Đã thực thi</t>
  </si>
  <si>
    <t>N/A</t>
  </si>
  <si>
    <t>Tỷ lệ thực thi</t>
  </si>
  <si>
    <t>Tỷ lệ Pass (trên số đã chạy)</t>
  </si>
  <si>
    <t>Tỷ lệ Fail (trên số đã chạy)</t>
  </si>
  <si>
    <t>2. Theo module</t>
  </si>
  <si>
    <t>Dự kiến</t>
  </si>
  <si>
    <t>Thực thi</t>
  </si>
  <si>
    <t>% Pass</t>
  </si>
  <si>
    <t>3. Theo kỹ thuật thiết kế</t>
  </si>
  <si>
    <t>Kỹ thuật</t>
  </si>
  <si>
    <t>Số kỹ thuật đã áp dụng (đề yêu cầu ≥ 3)</t>
  </si>
  <si>
    <t>4. Kiểm thử tự động</t>
  </si>
  <si>
    <t>Số script (đề yêu cầu ≥ 5)</t>
  </si>
  <si>
    <t>Pass ở lần 3</t>
  </si>
  <si>
    <t>Fail ở lần 3</t>
  </si>
  <si>
    <t>5. Phi chức năng</t>
  </si>
  <si>
    <t>Security: tổng hạng mục</t>
  </si>
  <si>
    <t>Security: Pass</t>
  </si>
  <si>
    <t>Security: Fail</t>
  </si>
  <si>
    <t>Security: Fail rủi ro Cao</t>
  </si>
  <si>
    <t>6. Lỗi theo Severity</t>
  </si>
  <si>
    <t>Tổng</t>
  </si>
  <si>
    <t>Còn mở</t>
  </si>
  <si>
    <t>Đã đóng</t>
  </si>
  <si>
    <t>Critical</t>
  </si>
  <si>
    <t>High</t>
  </si>
  <si>
    <t>Medium</t>
  </si>
  <si>
    <t>Low</t>
  </si>
  <si>
    <t>TỔNG LỖI</t>
  </si>
  <si>
    <t>7. Lỗi theo Priority</t>
  </si>
  <si>
    <t>8. Đánh giá phát hành (QA Lead nhập tay)</t>
  </si>
  <si>
    <t>Severity: Critical = sập/lộ dữ liệu/vượt quyền; High = chức năng chính hỏng; Medium = chức năng phụ; Low = giao diện. Priority: High = sửa ngay; Medium = đợt này; Low = có thể hoãn.</t>
  </si>
  <si>
    <t>Còn lỗi Critical mở?</t>
  </si>
  <si>
    <t>Hệ thống đã sẵn sàng release chưa? Vì sao?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</si>
</sst>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6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b/>
      <sz val="11"/>
      <color rgb="FF1F4E79"/>
      <name val="Arial"/>
      <charset val="1"/>
    </font>
    <font>
      <sz val="9"/>
      <name val="Arial"/>
      <charset val="1"/>
    </font>
    <font>
      <u/>
      <sz val="9"/>
      <color rgb="FF0563C1"/>
      <name val="Arial"/>
      <charset val="1"/>
    </font>
    <font>
      <b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6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4" fillId="2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4" fillId="0" borderId="1" xfId="0" applyFont="1" applyBorder="1"/>
    <xf numFmtId="0" fontId="7" fillId="0" borderId="0" xfId="0" applyFont="1"/>
    <xf numFmtId="9" fontId="4" fillId="3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9" fontId="8" fillId="3" borderId="1" xfId="0" applyNumberFormat="1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0" fillId="0" borderId="0" xfId="0" applyFont="1"/>
    <xf numFmtId="9" fontId="0" fillId="0" borderId="0" xfId="0" applyNumberFormat="1"/>
    <xf numFmtId="164" fontId="8" fillId="2" borderId="1" xfId="0" applyNumberFormat="1" applyFont="1" applyFill="1" applyBorder="1" applyAlignment="1">
      <alignment vertical="top" wrapText="1"/>
    </xf>
    <xf numFmtId="0" fontId="4" fillId="0" borderId="0" xfId="0" applyFont="1"/>
    <xf numFmtId="9" fontId="3" fillId="0" borderId="0" xfId="0" applyNumberFormat="1" applyFont="1"/>
    <xf numFmtId="0" fontId="6" fillId="0" borderId="0" xfId="0" applyFont="1"/>
    <xf numFmtId="1" fontId="8" fillId="3" borderId="1" xfId="0" applyNumberFormat="1" applyFont="1" applyFill="1" applyBorder="1" applyAlignment="1">
      <alignment vertical="top" wrapText="1"/>
    </xf>
    <xf numFmtId="166" fontId="3" fillId="0" borderId="0" xfId="0" applyNumberFormat="1" applyFont="1"/>
    <xf numFmtId="9" fontId="4" fillId="0" borderId="1" xfId="0" applyNumberFormat="1" applyFont="1" applyBorder="1"/>
    <xf numFmtId="0" fontId="10" fillId="0" borderId="1" xfId="0" applyFont="1" applyBorder="1"/>
    <xf numFmtId="0" fontId="4" fillId="6" borderId="1" xfId="0" applyFont="1" applyFill="1" applyBorder="1"/>
    <xf numFmtId="0" fontId="0" fillId="7" borderId="0" xfId="0" applyFill="1"/>
    <xf numFmtId="0" fontId="5" fillId="8" borderId="1" xfId="0" applyFont="1" applyFill="1" applyBorder="1"/>
    <xf numFmtId="1" fontId="3" fillId="6" borderId="1" xfId="0" applyNumberFormat="1" applyFont="1" applyFill="1" applyBorder="1" applyAlignment="1">
      <alignment vertical="top" wrapText="1"/>
    </xf>
    <xf numFmtId="9" fontId="3" fillId="6" borderId="1" xfId="0" applyNumberFormat="1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</cellXfs>
  <cellStyles count="1">
    <cellStyle name="Normal" xfId="0" builtinId="0"/>
  </cellStyles>
  <dxfs count="8">
    <dxf>
      <fill>
        <patternFill>
          <bgColor rgb="FFFFC7CE"/>
        </patternFill>
      </fill>
    </dxf>
    <dxf>
      <font>
        <b/>
        <color rgb="FFC00000"/>
      </font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color rgb="FF2E7D32"/>
      </font>
    </dxf>
    <dxf>
      <font>
        <b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FBFBF"/>
      <rgbColor rgb="FF7F7F7F"/>
      <rgbColor rgb="FF9999FF"/>
      <rgbColor rgb="FF7030A0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BBB59"/>
      <rgbColor rgb="FFFFC000"/>
      <rgbColor rgb="FFFF9900"/>
      <rgbColor rgb="FFFF6600"/>
      <rgbColor rgb="FF8064A2"/>
      <rgbColor rgb="FF878787"/>
      <rgbColor rgb="FF003366"/>
      <rgbColor rgb="FF2E7D32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Kết quả theo người (Pass / Fail / Blocked)</a:t>
            </a:r>
          </a:p>
        </c:rich>
      </c:tx>
      <c:layout>
        <c:manualLayout>
          <c:xMode val="edge"/>
          <c:yMode val="edge"/>
          <c:x val="0.13748597081930417"/>
          <c:y val="8.210744089358358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'Tổng quan'!$H$5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quan'!$D$6:$D$10</c:f>
              <c:strCache>
                <c:ptCount val="5"/>
                <c:pt idx="0">
                  <c:v>Thái Hoàng Minh</c:v>
                </c:pt>
                <c:pt idx="1">
                  <c:v>Lâm Hoài An</c:v>
                </c:pt>
                <c:pt idx="2">
                  <c:v>Nguyễn Phúc Khang</c:v>
                </c:pt>
                <c:pt idx="3">
                  <c:v>Võ Trường Hải</c:v>
                </c:pt>
                <c:pt idx="4">
                  <c:v>Châu Minh Tuệ</c:v>
                </c:pt>
              </c:strCache>
            </c:strRef>
          </c:cat>
          <c:val>
            <c:numRef>
              <c:f>'Tổng quan'!$H$6:$H$10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3-4819-9A50-00A09FF90346}"/>
            </c:ext>
          </c:extLst>
        </c:ser>
        <c:ser>
          <c:idx val="1"/>
          <c:order val="1"/>
          <c:tx>
            <c:strRef>
              <c:f>'Tổng quan'!$I$5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quan'!$D$6:$D$10</c:f>
              <c:strCache>
                <c:ptCount val="5"/>
                <c:pt idx="0">
                  <c:v>Thái Hoàng Minh</c:v>
                </c:pt>
                <c:pt idx="1">
                  <c:v>Lâm Hoài An</c:v>
                </c:pt>
                <c:pt idx="2">
                  <c:v>Nguyễn Phúc Khang</c:v>
                </c:pt>
                <c:pt idx="3">
                  <c:v>Võ Trường Hải</c:v>
                </c:pt>
                <c:pt idx="4">
                  <c:v>Châu Minh Tuệ</c:v>
                </c:pt>
              </c:strCache>
            </c:strRef>
          </c:cat>
          <c:val>
            <c:numRef>
              <c:f>'Tổng quan'!$I$6:$I$10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93-4819-9A50-00A09FF90346}"/>
            </c:ext>
          </c:extLst>
        </c:ser>
        <c:ser>
          <c:idx val="2"/>
          <c:order val="2"/>
          <c:tx>
            <c:strRef>
              <c:f>'Tổng quan'!$J$5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'Tổng quan'!$D$6:$D$10</c:f>
              <c:strCache>
                <c:ptCount val="5"/>
                <c:pt idx="0">
                  <c:v>Thái Hoàng Minh</c:v>
                </c:pt>
                <c:pt idx="1">
                  <c:v>Lâm Hoài An</c:v>
                </c:pt>
                <c:pt idx="2">
                  <c:v>Nguyễn Phúc Khang</c:v>
                </c:pt>
                <c:pt idx="3">
                  <c:v>Võ Trường Hải</c:v>
                </c:pt>
                <c:pt idx="4">
                  <c:v>Châu Minh Tuệ</c:v>
                </c:pt>
              </c:strCache>
            </c:strRef>
          </c:cat>
          <c:val>
            <c:numRef>
              <c:f>'Tổng quan'!$J$6:$J$10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93-4819-9A50-00A09FF90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38500"/>
        <c:axId val="48504978"/>
      </c:barChart>
      <c:catAx>
        <c:axId val="182385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504978"/>
        <c:crosses val="autoZero"/>
        <c:auto val="1"/>
        <c:lblAlgn val="ctr"/>
        <c:lblOffset val="100"/>
        <c:noMultiLvlLbl val="0"/>
      </c:catAx>
      <c:valAx>
        <c:axId val="48504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238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Kết quả theo module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'Test Summary'!$D$17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Summary'!$A$18:$A$28</c:f>
              <c:strCache>
                <c:ptCount val="11"/>
                <c:pt idx="0">
                  <c:v>M1 – Tài khoản</c:v>
                </c:pt>
                <c:pt idx="1">
                  <c:v>M2 – Phân quyền</c:v>
                </c:pt>
                <c:pt idx="2">
                  <c:v>M3 – Trang chủ &amp; Tìm kiếm</c:v>
                </c:pt>
                <c:pt idx="3">
                  <c:v>M4 – Gallery &amp; Bot</c:v>
                </c:pt>
                <c:pt idx="4">
                  <c:v>M5 – Ideas</c:v>
                </c:pt>
                <c:pt idx="5">
                  <c:v>M6 – Commission</c:v>
                </c:pt>
                <c:pt idx="6">
                  <c:v>M7 – Shop &amp; Gems</c:v>
                </c:pt>
                <c:pt idx="7">
                  <c:v>M8 – Community Gallery</c:v>
                </c:pt>
                <c:pt idx="8">
                  <c:v>M9 – Hồ sơ &amp; Follow</c:v>
                </c:pt>
                <c:pt idx="9">
                  <c:v>M10 – Quản trị (Admin)</c:v>
                </c:pt>
                <c:pt idx="10">
                  <c:v>M11 – Phi chức năng</c:v>
                </c:pt>
              </c:strCache>
            </c:strRef>
          </c:cat>
          <c:val>
            <c:numRef>
              <c:f>'Test Summary'!$D$18:$D$28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D-47EC-AF5D-5D75DEAA4898}"/>
            </c:ext>
          </c:extLst>
        </c:ser>
        <c:ser>
          <c:idx val="1"/>
          <c:order val="1"/>
          <c:tx>
            <c:strRef>
              <c:f>'Test Summary'!$E$17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Summary'!$A$18:$A$28</c:f>
              <c:strCache>
                <c:ptCount val="11"/>
                <c:pt idx="0">
                  <c:v>M1 – Tài khoản</c:v>
                </c:pt>
                <c:pt idx="1">
                  <c:v>M2 – Phân quyền</c:v>
                </c:pt>
                <c:pt idx="2">
                  <c:v>M3 – Trang chủ &amp; Tìm kiếm</c:v>
                </c:pt>
                <c:pt idx="3">
                  <c:v>M4 – Gallery &amp; Bot</c:v>
                </c:pt>
                <c:pt idx="4">
                  <c:v>M5 – Ideas</c:v>
                </c:pt>
                <c:pt idx="5">
                  <c:v>M6 – Commission</c:v>
                </c:pt>
                <c:pt idx="6">
                  <c:v>M7 – Shop &amp; Gems</c:v>
                </c:pt>
                <c:pt idx="7">
                  <c:v>M8 – Community Gallery</c:v>
                </c:pt>
                <c:pt idx="8">
                  <c:v>M9 – Hồ sơ &amp; Follow</c:v>
                </c:pt>
                <c:pt idx="9">
                  <c:v>M10 – Quản trị (Admin)</c:v>
                </c:pt>
                <c:pt idx="10">
                  <c:v>M11 – Phi chức năng</c:v>
                </c:pt>
              </c:strCache>
            </c:strRef>
          </c:cat>
          <c:val>
            <c:numRef>
              <c:f>'Test Summary'!$E$18:$E$28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D-47EC-AF5D-5D75DEAA4898}"/>
            </c:ext>
          </c:extLst>
        </c:ser>
        <c:ser>
          <c:idx val="2"/>
          <c:order val="2"/>
          <c:tx>
            <c:strRef>
              <c:f>'Test Summary'!$F$17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Summary'!$A$18:$A$28</c:f>
              <c:strCache>
                <c:ptCount val="11"/>
                <c:pt idx="0">
                  <c:v>M1 – Tài khoản</c:v>
                </c:pt>
                <c:pt idx="1">
                  <c:v>M2 – Phân quyền</c:v>
                </c:pt>
                <c:pt idx="2">
                  <c:v>M3 – Trang chủ &amp; Tìm kiếm</c:v>
                </c:pt>
                <c:pt idx="3">
                  <c:v>M4 – Gallery &amp; Bot</c:v>
                </c:pt>
                <c:pt idx="4">
                  <c:v>M5 – Ideas</c:v>
                </c:pt>
                <c:pt idx="5">
                  <c:v>M6 – Commission</c:v>
                </c:pt>
                <c:pt idx="6">
                  <c:v>M7 – Shop &amp; Gems</c:v>
                </c:pt>
                <c:pt idx="7">
                  <c:v>M8 – Community Gallery</c:v>
                </c:pt>
                <c:pt idx="8">
                  <c:v>M9 – Hồ sơ &amp; Follow</c:v>
                </c:pt>
                <c:pt idx="9">
                  <c:v>M10 – Quản trị (Admin)</c:v>
                </c:pt>
                <c:pt idx="10">
                  <c:v>M11 – Phi chức năng</c:v>
                </c:pt>
              </c:strCache>
            </c:strRef>
          </c:cat>
          <c:val>
            <c:numRef>
              <c:f>'Test Summary'!$F$18:$F$28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FD-47EC-AF5D-5D75DEAA4898}"/>
            </c:ext>
          </c:extLst>
        </c:ser>
        <c:ser>
          <c:idx val="3"/>
          <c:order val="3"/>
          <c:tx>
            <c:strRef>
              <c:f>'Test Summary'!$G$17</c:f>
              <c:strCache>
                <c:ptCount val="1"/>
                <c:pt idx="0">
                  <c:v>Not Run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Summary'!$A$18:$A$28</c:f>
              <c:strCache>
                <c:ptCount val="11"/>
                <c:pt idx="0">
                  <c:v>M1 – Tài khoản</c:v>
                </c:pt>
                <c:pt idx="1">
                  <c:v>M2 – Phân quyền</c:v>
                </c:pt>
                <c:pt idx="2">
                  <c:v>M3 – Trang chủ &amp; Tìm kiếm</c:v>
                </c:pt>
                <c:pt idx="3">
                  <c:v>M4 – Gallery &amp; Bot</c:v>
                </c:pt>
                <c:pt idx="4">
                  <c:v>M5 – Ideas</c:v>
                </c:pt>
                <c:pt idx="5">
                  <c:v>M6 – Commission</c:v>
                </c:pt>
                <c:pt idx="6">
                  <c:v>M7 – Shop &amp; Gems</c:v>
                </c:pt>
                <c:pt idx="7">
                  <c:v>M8 – Community Gallery</c:v>
                </c:pt>
                <c:pt idx="8">
                  <c:v>M9 – Hồ sơ &amp; Follow</c:v>
                </c:pt>
                <c:pt idx="9">
                  <c:v>M10 – Quản trị (Admin)</c:v>
                </c:pt>
                <c:pt idx="10">
                  <c:v>M11 – Phi chức năng</c:v>
                </c:pt>
              </c:strCache>
            </c:strRef>
          </c:cat>
          <c:val>
            <c:numRef>
              <c:f>'Test Summary'!$G$18:$G$28</c:f>
              <c:numCache>
                <c:formatCode>General</c:formatCode>
                <c:ptCount val="11"/>
                <c:pt idx="0">
                  <c:v>12</c:v>
                </c:pt>
                <c:pt idx="1">
                  <c:v>4</c:v>
                </c:pt>
                <c:pt idx="2">
                  <c:v>5</c:v>
                </c:pt>
                <c:pt idx="3">
                  <c:v>14</c:v>
                </c:pt>
                <c:pt idx="4">
                  <c:v>13</c:v>
                </c:pt>
                <c:pt idx="5">
                  <c:v>10</c:v>
                </c:pt>
                <c:pt idx="6">
                  <c:v>13</c:v>
                </c:pt>
                <c:pt idx="7">
                  <c:v>9</c:v>
                </c:pt>
                <c:pt idx="8">
                  <c:v>2</c:v>
                </c:pt>
                <c:pt idx="9">
                  <c:v>4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FD-47EC-AF5D-5D75DEAA4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869981"/>
        <c:axId val="61933739"/>
      </c:barChart>
      <c:catAx>
        <c:axId val="6386998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933739"/>
        <c:crosses val="autoZero"/>
        <c:auto val="1"/>
        <c:lblAlgn val="ctr"/>
        <c:lblOffset val="100"/>
        <c:noMultiLvlLbl val="0"/>
      </c:catAx>
      <c:valAx>
        <c:axId val="619337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8699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160920</xdr:rowOff>
    </xdr:from>
    <xdr:to>
      <xdr:col>2</xdr:col>
      <xdr:colOff>960120</xdr:colOff>
      <xdr:row>13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0</xdr:row>
      <xdr:rowOff>0</xdr:rowOff>
    </xdr:from>
    <xdr:to>
      <xdr:col>9</xdr:col>
      <xdr:colOff>297180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H16"/>
  <sheetViews>
    <sheetView zoomScaleNormal="100" workbookViewId="0">
      <selection activeCell="A18" sqref="A18"/>
    </sheetView>
  </sheetViews>
  <sheetFormatPr defaultColWidth="8.6640625" defaultRowHeight="14.4" x14ac:dyDescent="0.3"/>
  <cols>
    <col min="1" max="1" width="34" customWidth="1"/>
    <col min="2" max="2" width="24" customWidth="1"/>
    <col min="3" max="3" width="28" customWidth="1"/>
    <col min="4" max="4" width="44" customWidth="1"/>
    <col min="5" max="5" width="3" customWidth="1"/>
    <col min="6" max="6" width="16" customWidth="1"/>
    <col min="7" max="7" width="30" customWidth="1"/>
    <col min="8" max="8" width="50" customWidth="1"/>
  </cols>
  <sheetData>
    <row r="1" spans="1:8" ht="17.399999999999999" x14ac:dyDescent="0.3">
      <c r="A1" s="3" t="s">
        <v>0</v>
      </c>
    </row>
    <row r="2" spans="1:8" x14ac:dyDescent="0.3">
      <c r="A2" s="4" t="s">
        <v>1</v>
      </c>
    </row>
    <row r="3" spans="1:8" x14ac:dyDescent="0.3">
      <c r="A3" s="9" t="s">
        <v>2</v>
      </c>
      <c r="B3" s="10" t="s">
        <v>3</v>
      </c>
    </row>
    <row r="4" spans="1:8" x14ac:dyDescent="0.3">
      <c r="A4" s="9" t="s">
        <v>4</v>
      </c>
      <c r="B4" s="10" t="s">
        <v>5</v>
      </c>
    </row>
    <row r="6" spans="1:8" ht="27" x14ac:dyDescent="0.3">
      <c r="A6" s="11" t="s">
        <v>6</v>
      </c>
      <c r="B6" s="11" t="s">
        <v>7</v>
      </c>
      <c r="C6" s="11" t="s">
        <v>8</v>
      </c>
      <c r="D6" s="11" t="s">
        <v>9</v>
      </c>
      <c r="F6" s="12" t="s">
        <v>10</v>
      </c>
      <c r="G6" s="12" t="s">
        <v>11</v>
      </c>
      <c r="H6" s="12" t="s">
        <v>12</v>
      </c>
    </row>
    <row r="7" spans="1:8" x14ac:dyDescent="0.3">
      <c r="A7" s="13">
        <v>1</v>
      </c>
      <c r="B7" s="10" t="s">
        <v>13</v>
      </c>
      <c r="C7" s="10" t="s">
        <v>14</v>
      </c>
      <c r="D7" s="10" t="s">
        <v>15</v>
      </c>
      <c r="F7" s="7" t="s">
        <v>16</v>
      </c>
      <c r="G7" s="5" t="str">
        <f>B8</f>
        <v>Lâm Hoài An</v>
      </c>
      <c r="H7" s="8" t="s">
        <v>17</v>
      </c>
    </row>
    <row r="8" spans="1:8" x14ac:dyDescent="0.3">
      <c r="A8" s="13">
        <v>2</v>
      </c>
      <c r="B8" s="10" t="s">
        <v>18</v>
      </c>
      <c r="C8" s="10" t="s">
        <v>19</v>
      </c>
      <c r="D8" s="10" t="s">
        <v>20</v>
      </c>
      <c r="F8" s="7" t="s">
        <v>21</v>
      </c>
      <c r="G8" s="5" t="str">
        <f>B9</f>
        <v>Nguyễn Phúc Khang</v>
      </c>
      <c r="H8" s="8" t="s">
        <v>22</v>
      </c>
    </row>
    <row r="9" spans="1:8" x14ac:dyDescent="0.3">
      <c r="A9" s="13">
        <v>3</v>
      </c>
      <c r="B9" s="10" t="s">
        <v>23</v>
      </c>
      <c r="C9" s="10" t="s">
        <v>24</v>
      </c>
      <c r="D9" s="10" t="s">
        <v>25</v>
      </c>
      <c r="F9" s="7" t="s">
        <v>26</v>
      </c>
      <c r="G9" s="5" t="str">
        <f>B11</f>
        <v>Châu Minh Tuệ</v>
      </c>
      <c r="H9" s="8" t="s">
        <v>27</v>
      </c>
    </row>
    <row r="10" spans="1:8" x14ac:dyDescent="0.3">
      <c r="A10" s="13">
        <v>4</v>
      </c>
      <c r="B10" s="10" t="s">
        <v>28</v>
      </c>
      <c r="C10" s="10" t="s">
        <v>29</v>
      </c>
      <c r="D10" s="10" t="s">
        <v>30</v>
      </c>
    </row>
    <row r="11" spans="1:8" ht="15" customHeight="1" x14ac:dyDescent="0.3">
      <c r="A11" s="13">
        <v>5</v>
      </c>
      <c r="B11" s="10" t="s">
        <v>31</v>
      </c>
      <c r="C11" s="10" t="s">
        <v>32</v>
      </c>
      <c r="D11" s="10" t="s">
        <v>33</v>
      </c>
      <c r="F11" s="2" t="s">
        <v>34</v>
      </c>
      <c r="G11" s="2"/>
      <c r="H11" s="2"/>
    </row>
    <row r="12" spans="1:8" x14ac:dyDescent="0.3">
      <c r="A12" s="13"/>
      <c r="B12" s="32"/>
      <c r="C12" s="32"/>
      <c r="D12" s="32"/>
      <c r="F12" s="2"/>
      <c r="G12" s="2"/>
      <c r="H12" s="2"/>
    </row>
    <row r="13" spans="1:8" x14ac:dyDescent="0.3">
      <c r="A13" s="13"/>
      <c r="B13" s="32"/>
      <c r="C13" s="32"/>
      <c r="D13" s="32"/>
      <c r="F13" s="2"/>
      <c r="G13" s="2"/>
      <c r="H13" s="2"/>
    </row>
    <row r="14" spans="1:8" x14ac:dyDescent="0.3">
      <c r="A14" s="13"/>
      <c r="B14" s="32"/>
      <c r="C14" s="32"/>
      <c r="D14" s="32"/>
    </row>
    <row r="15" spans="1:8" x14ac:dyDescent="0.3">
      <c r="A15" s="13"/>
      <c r="B15" s="32"/>
      <c r="C15" s="32"/>
      <c r="D15" s="32"/>
    </row>
    <row r="16" spans="1:8" x14ac:dyDescent="0.3">
      <c r="A16" s="13"/>
      <c r="B16" s="32"/>
      <c r="C16" s="32"/>
      <c r="D16" s="32"/>
    </row>
  </sheetData>
  <mergeCells count="1">
    <mergeCell ref="F11:H13"/>
  </mergeCells>
  <dataValidations count="1">
    <dataValidation type="list" errorStyle="warning" allowBlank="1" sqref="G7:G9" xr:uid="{00000000-0002-0000-0100-000000000000}">
      <formula1>$B$7:$B$16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26"/>
  <sheetViews>
    <sheetView tabSelected="1" zoomScaleNormal="100" workbookViewId="0">
      <selection activeCell="D13" sqref="D13"/>
    </sheetView>
  </sheetViews>
  <sheetFormatPr defaultColWidth="8.6640625" defaultRowHeight="14.4" x14ac:dyDescent="0.3"/>
  <cols>
    <col min="1" max="1" width="36" customWidth="1"/>
    <col min="2" max="3" width="16" customWidth="1"/>
    <col min="4" max="4" width="40" customWidth="1"/>
    <col min="5" max="5" width="34" customWidth="1"/>
    <col min="6" max="6" width="12" customWidth="1"/>
    <col min="7" max="7" width="10" customWidth="1"/>
    <col min="8" max="8" width="8" customWidth="1"/>
    <col min="9" max="9" width="10" customWidth="1"/>
    <col min="10" max="10" width="13" customWidth="1"/>
    <col min="11" max="11" width="12" customWidth="1"/>
  </cols>
  <sheetData>
    <row r="1" spans="1:13" ht="17.399999999999999" x14ac:dyDescent="0.3">
      <c r="A1" s="3" t="s">
        <v>35</v>
      </c>
    </row>
    <row r="2" spans="1:13" x14ac:dyDescent="0.3">
      <c r="A2" s="4" t="s">
        <v>36</v>
      </c>
    </row>
    <row r="3" spans="1:13" ht="9.6" customHeight="1" x14ac:dyDescent="0.3">
      <c r="B3" s="33"/>
    </row>
    <row r="4" spans="1:13" x14ac:dyDescent="0.3">
      <c r="A4" s="34"/>
      <c r="B4" s="34"/>
      <c r="D4" s="14" t="s">
        <v>37</v>
      </c>
    </row>
    <row r="5" spans="1:13" ht="40.200000000000003" x14ac:dyDescent="0.3">
      <c r="A5" s="8"/>
      <c r="B5" s="35"/>
      <c r="D5" s="12" t="s">
        <v>7</v>
      </c>
      <c r="E5" s="12" t="s">
        <v>8</v>
      </c>
      <c r="F5" s="12" t="s">
        <v>38</v>
      </c>
      <c r="G5" s="12" t="s">
        <v>39</v>
      </c>
      <c r="H5" s="12" t="s">
        <v>40</v>
      </c>
      <c r="I5" s="12" t="s">
        <v>41</v>
      </c>
      <c r="J5" s="12" t="s">
        <v>42</v>
      </c>
      <c r="K5" s="12" t="s">
        <v>43</v>
      </c>
      <c r="L5" s="12" t="s">
        <v>44</v>
      </c>
      <c r="M5" s="12" t="s">
        <v>45</v>
      </c>
    </row>
    <row r="6" spans="1:13" x14ac:dyDescent="0.3">
      <c r="A6" s="8"/>
      <c r="B6" s="36"/>
      <c r="D6" s="6" t="str">
        <f>IF('Cấu hình'!B7="","",'Cấu hình'!B7)</f>
        <v>Thái Hoàng Minh</v>
      </c>
      <c r="E6" s="6" t="str">
        <f>IF('Cấu hình'!C7="","",'Cấu hình'!C7)</f>
        <v>QA Lead / Test Manager</v>
      </c>
      <c r="F6" s="6">
        <f>IF(D6="","",COUNTIF('Test Cases'!$G$5:$G$300,D6))</f>
        <v>0</v>
      </c>
      <c r="G6" s="6">
        <f>IF(D6="","",F6-COUNTIFS('Test Cases'!$G$5:$G$300,D6,'Test Cases'!$T$5:$T$300,"Not Run"))</f>
        <v>0</v>
      </c>
      <c r="H6" s="6">
        <f>IF(D6="","",COUNTIFS('Test Cases'!$G$5:$G$300,D6,'Test Cases'!$T$5:$T$300,"Pass"))</f>
        <v>0</v>
      </c>
      <c r="I6" s="6">
        <f>IF(D6="","",COUNTIFS('Test Cases'!$G$5:$G$300,D6,'Test Cases'!$T$5:$T$300,"Fail"))</f>
        <v>0</v>
      </c>
      <c r="J6" s="6">
        <f>IF(D6="","",COUNTIFS('Test Cases'!$G$5:$G$300,D6,'Test Cases'!$T$5:$T$300,"Blocked"))</f>
        <v>0</v>
      </c>
      <c r="K6" s="15">
        <f>IF(OR(D6="",F6=0),0,G6/F6)</f>
        <v>0</v>
      </c>
      <c r="L6" s="6">
        <f>IF(D6="","",COUNTIF('Bug Log'!$L$5:$L$154,D6))</f>
        <v>0</v>
      </c>
      <c r="M6" s="6">
        <f>IF(D6="","",SUMIF('Contribution Log'!$C$5:$C$204,D6,'Contribution Log'!$G$5:$G$204))</f>
        <v>0</v>
      </c>
    </row>
    <row r="7" spans="1:13" x14ac:dyDescent="0.3">
      <c r="A7" s="8"/>
      <c r="B7" s="36"/>
      <c r="D7" s="6" t="str">
        <f>IF('Cấu hình'!B8="","",'Cấu hình'!B8)</f>
        <v>Lâm Hoài An</v>
      </c>
      <c r="E7" s="6" t="str">
        <f>IF('Cấu hình'!C8="","",'Cấu hình'!C8)</f>
        <v>Functional Tester 1</v>
      </c>
      <c r="F7" s="6">
        <f>IF(D7="","",COUNTIF('Test Cases'!$G$5:$G$300,D7))</f>
        <v>49</v>
      </c>
      <c r="G7" s="6">
        <f>IF(D7="","",F7-COUNTIFS('Test Cases'!$G$5:$G$300,D7,'Test Cases'!$T$5:$T$300,"Not Run"))</f>
        <v>0</v>
      </c>
      <c r="H7" s="6">
        <f>IF(D7="","",COUNTIFS('Test Cases'!$G$5:$G$300,D7,'Test Cases'!$T$5:$T$300,"Pass"))</f>
        <v>0</v>
      </c>
      <c r="I7" s="6">
        <f>IF(D7="","",COUNTIFS('Test Cases'!$G$5:$G$300,D7,'Test Cases'!$T$5:$T$300,"Fail"))</f>
        <v>0</v>
      </c>
      <c r="J7" s="6">
        <f>IF(D7="","",COUNTIFS('Test Cases'!$G$5:$G$300,D7,'Test Cases'!$T$5:$T$300,"Blocked"))</f>
        <v>0</v>
      </c>
      <c r="K7" s="15">
        <f>IF(OR(D7="",F7=0),0,G7/F7)</f>
        <v>0</v>
      </c>
      <c r="L7" s="6">
        <f>IF(D7="","",COUNTIF('Bug Log'!$L$5:$L$154,D7))</f>
        <v>0</v>
      </c>
      <c r="M7" s="6">
        <f>IF(D7="","",SUMIF('Contribution Log'!$C$5:$C$204,D7,'Contribution Log'!$G$5:$G$204))</f>
        <v>0</v>
      </c>
    </row>
    <row r="8" spans="1:13" x14ac:dyDescent="0.3">
      <c r="A8" s="8"/>
      <c r="B8" s="35"/>
      <c r="D8" s="6" t="str">
        <f>IF('Cấu hình'!B9="","",'Cấu hình'!B9)</f>
        <v>Nguyễn Phúc Khang</v>
      </c>
      <c r="E8" s="6" t="str">
        <f>IF('Cấu hình'!C9="","",'Cấu hình'!C9)</f>
        <v>Functional Tester 2</v>
      </c>
      <c r="F8" s="6">
        <f>IF(D8="","",COUNTIF('Test Cases'!$G$5:$G$300,D8))</f>
        <v>49</v>
      </c>
      <c r="G8" s="6">
        <f>IF(D8="","",F8-COUNTIFS('Test Cases'!$G$5:$G$300,D8,'Test Cases'!$T$5:$T$300,"Not Run"))</f>
        <v>0</v>
      </c>
      <c r="H8" s="6">
        <f>IF(D8="","",COUNTIFS('Test Cases'!$G$5:$G$300,D8,'Test Cases'!$T$5:$T$300,"Pass"))</f>
        <v>0</v>
      </c>
      <c r="I8" s="6">
        <f>IF(D8="","",COUNTIFS('Test Cases'!$G$5:$G$300,D8,'Test Cases'!$T$5:$T$300,"Fail"))</f>
        <v>0</v>
      </c>
      <c r="J8" s="6">
        <f>IF(D8="","",COUNTIFS('Test Cases'!$G$5:$G$300,D8,'Test Cases'!$T$5:$T$300,"Blocked"))</f>
        <v>0</v>
      </c>
      <c r="K8" s="15">
        <f>IF(OR(D8="",F8=0),0,G8/F8)</f>
        <v>0</v>
      </c>
      <c r="L8" s="6">
        <f>IF(D8="","",COUNTIF('Bug Log'!$L$5:$L$154,D8))</f>
        <v>0</v>
      </c>
      <c r="M8" s="6">
        <f>IF(D8="","",SUMIF('Contribution Log'!$C$5:$C$204,D8,'Contribution Log'!$G$5:$G$204))</f>
        <v>0</v>
      </c>
    </row>
    <row r="9" spans="1:13" x14ac:dyDescent="0.3">
      <c r="A9" s="8"/>
      <c r="B9" s="35"/>
      <c r="D9" s="6" t="str">
        <f>IF('Cấu hình'!B10="","",'Cấu hình'!B10)</f>
        <v>Võ Trường Hải</v>
      </c>
      <c r="E9" s="6" t="str">
        <f>IF('Cấu hình'!C10="","",'Cấu hình'!C10)</f>
        <v>Automation Tester</v>
      </c>
      <c r="F9" s="6">
        <f>IF(D9="","",COUNTIF('Test Cases'!$G$5:$G$300,D9))</f>
        <v>0</v>
      </c>
      <c r="G9" s="6">
        <f>IF(D9="","",F9-COUNTIFS('Test Cases'!$G$5:$G$300,D9,'Test Cases'!$T$5:$T$300,"Not Run"))</f>
        <v>0</v>
      </c>
      <c r="H9" s="6">
        <f>IF(D9="","",COUNTIFS('Test Cases'!$G$5:$G$300,D9,'Test Cases'!$T$5:$T$300,"Pass"))</f>
        <v>0</v>
      </c>
      <c r="I9" s="6">
        <f>IF(D9="","",COUNTIFS('Test Cases'!$G$5:$G$300,D9,'Test Cases'!$T$5:$T$300,"Fail"))</f>
        <v>0</v>
      </c>
      <c r="J9" s="6">
        <f>IF(D9="","",COUNTIFS('Test Cases'!$G$5:$G$300,D9,'Test Cases'!$T$5:$T$300,"Blocked"))</f>
        <v>0</v>
      </c>
      <c r="K9" s="15">
        <f>IF(OR(D9="",F9=0),0,G9/F9)</f>
        <v>0</v>
      </c>
      <c r="L9" s="6">
        <f>IF(D9="","",COUNTIF('Bug Log'!$L$5:$L$154,D9))</f>
        <v>0</v>
      </c>
      <c r="M9" s="6">
        <f>IF(D9="","",SUMIF('Contribution Log'!$C$5:$C$204,D9,'Contribution Log'!$G$5:$G$204))</f>
        <v>0</v>
      </c>
    </row>
    <row r="10" spans="1:13" x14ac:dyDescent="0.3">
      <c r="A10" s="8"/>
      <c r="B10" s="37"/>
      <c r="D10" s="6" t="str">
        <f>IF('Cấu hình'!B11="","",'Cấu hình'!B11)</f>
        <v>Châu Minh Tuệ</v>
      </c>
      <c r="E10" s="6" t="str">
        <f>IF('Cấu hình'!C11="","",'Cấu hình'!C11)</f>
        <v>Performance/Security Tester</v>
      </c>
      <c r="F10" s="6">
        <f>IF(D10="","",COUNTIF('Test Cases'!$G$5:$G$300,D10))</f>
        <v>2</v>
      </c>
      <c r="G10" s="6">
        <f>IF(D10="","",F10-COUNTIFS('Test Cases'!$G$5:$G$300,D10,'Test Cases'!$T$5:$T$300,"Not Run"))</f>
        <v>0</v>
      </c>
      <c r="H10" s="6">
        <f>IF(D10="","",COUNTIFS('Test Cases'!$G$5:$G$300,D10,'Test Cases'!$T$5:$T$300,"Pass"))</f>
        <v>0</v>
      </c>
      <c r="I10" s="6">
        <f>IF(D10="","",COUNTIFS('Test Cases'!$G$5:$G$300,D10,'Test Cases'!$T$5:$T$300,"Fail"))</f>
        <v>0</v>
      </c>
      <c r="J10" s="6">
        <f>IF(D10="","",COUNTIFS('Test Cases'!$G$5:$G$300,D10,'Test Cases'!$T$5:$T$300,"Blocked"))</f>
        <v>0</v>
      </c>
      <c r="K10" s="15">
        <f>IF(OR(D10="",F10=0),0,G10/F10)</f>
        <v>0</v>
      </c>
      <c r="L10" s="6">
        <f>IF(D10="","",COUNTIF('Bug Log'!$L$5:$L$154,D10))</f>
        <v>0</v>
      </c>
      <c r="M10" s="6">
        <f>IF(D10="","",SUMIF('Contribution Log'!$C$5:$C$204,D10,'Contribution Log'!$G$5:$G$204))</f>
        <v>0</v>
      </c>
    </row>
    <row r="11" spans="1:13" x14ac:dyDescent="0.3">
      <c r="A11" s="8"/>
      <c r="B11" s="36"/>
    </row>
    <row r="12" spans="1:13" x14ac:dyDescent="0.3">
      <c r="A12" s="8"/>
      <c r="B12" s="35"/>
    </row>
    <row r="15" spans="1:13" x14ac:dyDescent="0.3">
      <c r="A15" s="14" t="s">
        <v>46</v>
      </c>
    </row>
    <row r="16" spans="1:13" x14ac:dyDescent="0.3">
      <c r="A16" s="11" t="s">
        <v>47</v>
      </c>
      <c r="B16" s="11" t="s">
        <v>48</v>
      </c>
      <c r="C16" s="11" t="s">
        <v>49</v>
      </c>
      <c r="D16" s="11" t="s">
        <v>50</v>
      </c>
      <c r="E16" s="11" t="s">
        <v>51</v>
      </c>
    </row>
    <row r="17" spans="1:5" ht="26.4" x14ac:dyDescent="0.3">
      <c r="A17" s="8" t="s">
        <v>52</v>
      </c>
      <c r="B17" s="6">
        <f>COUNTIFS('Test Cases'!$A$5:$A$300,"&lt;&gt;",'Test Cases'!$T$5:$T$300,"Fail",'Test Cases'!$U$5:$U$300,"")</f>
        <v>0</v>
      </c>
      <c r="C17" s="6" t="str">
        <f t="shared" ref="C17:C26" si="0">IF(B17=0,"✔ OK","⚠ Cần xử lý")</f>
        <v>✔ OK</v>
      </c>
      <c r="D17" s="8" t="s">
        <v>53</v>
      </c>
      <c r="E17" s="8" t="s">
        <v>54</v>
      </c>
    </row>
    <row r="18" spans="1:5" x14ac:dyDescent="0.3">
      <c r="A18" s="8" t="s">
        <v>55</v>
      </c>
      <c r="B18" s="6">
        <f>COUNTIFS('Test Cases'!$A$5:$A$300,"&lt;&gt;",'Test Cases'!$T$5:$T$300,"&lt;&gt;Not Run",'Test Cases'!$R$5:$R$300,"")</f>
        <v>0</v>
      </c>
      <c r="C18" s="6" t="str">
        <f t="shared" si="0"/>
        <v>✔ OK</v>
      </c>
      <c r="D18" s="8" t="s">
        <v>56</v>
      </c>
      <c r="E18" s="8" t="s">
        <v>54</v>
      </c>
    </row>
    <row r="19" spans="1:5" x14ac:dyDescent="0.3">
      <c r="A19" s="8" t="s">
        <v>57</v>
      </c>
      <c r="B19" s="6">
        <f>COUNTIFS('Test Cases'!$O$5:$O$300,"P1",'Test Cases'!$T$5:$T$300,"Not Run")</f>
        <v>72</v>
      </c>
      <c r="C19" s="6" t="str">
        <f t="shared" si="0"/>
        <v>⚠ Cần xử lý</v>
      </c>
      <c r="D19" s="8" t="s">
        <v>58</v>
      </c>
      <c r="E19" s="8" t="s">
        <v>59</v>
      </c>
    </row>
    <row r="20" spans="1:5" x14ac:dyDescent="0.3">
      <c r="A20" s="8" t="s">
        <v>60</v>
      </c>
      <c r="B20" s="6">
        <f>COUNTIF('Test Cases'!$T$5:$T$300,"Blocked")</f>
        <v>0</v>
      </c>
      <c r="C20" s="6" t="str">
        <f t="shared" si="0"/>
        <v>✔ OK</v>
      </c>
      <c r="D20" s="8" t="s">
        <v>61</v>
      </c>
      <c r="E20" s="8" t="s">
        <v>62</v>
      </c>
    </row>
    <row r="21" spans="1:5" x14ac:dyDescent="0.3">
      <c r="A21" s="8" t="s">
        <v>63</v>
      </c>
      <c r="B21" s="6">
        <f>COUNTIF('Checklist cover'!M5:M56,"CHƯA CÓ TC")</f>
        <v>0</v>
      </c>
      <c r="C21" s="6" t="str">
        <f t="shared" si="0"/>
        <v>✔ OK</v>
      </c>
      <c r="D21" s="8" t="s">
        <v>64</v>
      </c>
      <c r="E21" s="8" t="s">
        <v>65</v>
      </c>
    </row>
    <row r="22" spans="1:5" x14ac:dyDescent="0.3">
      <c r="A22" s="8" t="s">
        <v>66</v>
      </c>
      <c r="B22" s="6">
        <f>COUNTIF('Bug Log'!K5:K154,"Fixed")</f>
        <v>0</v>
      </c>
      <c r="C22" s="6" t="str">
        <f t="shared" si="0"/>
        <v>✔ OK</v>
      </c>
      <c r="D22" s="8" t="s">
        <v>67</v>
      </c>
      <c r="E22" s="8" t="s">
        <v>68</v>
      </c>
    </row>
    <row r="23" spans="1:5" x14ac:dyDescent="0.3">
      <c r="A23" s="8" t="s">
        <v>69</v>
      </c>
      <c r="B23" s="6">
        <f>SUMPRODUCT((('Bug Log'!$I$5:$I$154="Critical")+('Bug Log'!$I$5:$I$154="High"))*('Bug Log'!$K$5:$K$154&lt;&gt;"Closed")*('Bug Log'!$K$5:$K$154&lt;&gt;"Verified")*('Bug Log'!$K$5:$K$154&lt;&gt;"Rejected")*('Bug Log'!$E$5:$E$154&lt;&gt;""))</f>
        <v>0</v>
      </c>
      <c r="C23" s="6" t="str">
        <f t="shared" si="0"/>
        <v>✔ OK</v>
      </c>
      <c r="D23" s="8" t="s">
        <v>70</v>
      </c>
      <c r="E23" s="8" t="s">
        <v>71</v>
      </c>
    </row>
    <row r="24" spans="1:5" x14ac:dyDescent="0.3">
      <c r="A24" s="8" t="s">
        <v>72</v>
      </c>
      <c r="B24" s="6">
        <f>COUNTIF(Automation!J5:J12,"Not Run")</f>
        <v>6</v>
      </c>
      <c r="C24" s="6" t="str">
        <f t="shared" si="0"/>
        <v>⚠ Cần xử lý</v>
      </c>
      <c r="D24" s="8" t="s">
        <v>73</v>
      </c>
      <c r="E24" s="8" t="s">
        <v>74</v>
      </c>
    </row>
    <row r="25" spans="1:5" x14ac:dyDescent="0.3">
      <c r="A25" s="8" t="s">
        <v>75</v>
      </c>
      <c r="B25" s="6">
        <f>COUNTIF('Non-functional'!G5:G14,"Not Run")</f>
        <v>10</v>
      </c>
      <c r="C25" s="6" t="str">
        <f t="shared" si="0"/>
        <v>⚠ Cần xử lý</v>
      </c>
      <c r="D25" s="8" t="s">
        <v>73</v>
      </c>
      <c r="E25" s="8" t="s">
        <v>76</v>
      </c>
    </row>
    <row r="26" spans="1:5" x14ac:dyDescent="0.3">
      <c r="A26" s="8" t="s">
        <v>77</v>
      </c>
      <c r="B26" s="6" t="e">
        <f>COUNTIF(#REF!,"TRỄ")</f>
        <v>#REF!</v>
      </c>
      <c r="C26" s="6" t="e">
        <f t="shared" si="0"/>
        <v>#REF!</v>
      </c>
      <c r="D26" s="8" t="s">
        <v>78</v>
      </c>
      <c r="E26" s="8" t="s">
        <v>79</v>
      </c>
    </row>
  </sheetData>
  <conditionalFormatting sqref="C17:C26">
    <cfRule type="cellIs" dxfId="7" priority="2" operator="equal">
      <formula>"⚠ Cần xử lý"</formula>
    </cfRule>
    <cfRule type="cellIs" dxfId="6" priority="3" operator="equal">
      <formula>"✔ OK"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N57"/>
  <sheetViews>
    <sheetView zoomScaleNormal="100" workbookViewId="0">
      <pane xSplit="3" ySplit="4" topLeftCell="E31" activePane="bottomRight" state="frozen"/>
      <selection pane="topRight" activeCell="D1" sqref="D1"/>
      <selection pane="bottomLeft" activeCell="A5" sqref="A5"/>
      <selection pane="bottomRight" activeCell="N5" sqref="N5"/>
    </sheetView>
  </sheetViews>
  <sheetFormatPr defaultColWidth="8.6640625" defaultRowHeight="14.4" x14ac:dyDescent="0.3"/>
  <cols>
    <col min="1" max="1" width="8" customWidth="1"/>
    <col min="2" max="2" width="24" customWidth="1"/>
    <col min="3" max="3" width="32" customWidth="1"/>
    <col min="4" max="4" width="26" customWidth="1"/>
    <col min="5" max="5" width="36" customWidth="1"/>
    <col min="6" max="6" width="14" customWidth="1"/>
    <col min="7" max="7" width="22" customWidth="1"/>
    <col min="8" max="8" width="8" customWidth="1"/>
    <col min="9" max="9" width="9" customWidth="1"/>
    <col min="10" max="11" width="8" customWidth="1"/>
    <col min="12" max="12" width="10" customWidth="1"/>
    <col min="13" max="13" width="16" customWidth="1"/>
    <col min="14" max="14" width="12" customWidth="1"/>
  </cols>
  <sheetData>
    <row r="1" spans="1:14" ht="17.399999999999999" x14ac:dyDescent="0.3">
      <c r="A1" s="3" t="s">
        <v>81</v>
      </c>
    </row>
    <row r="2" spans="1:14" x14ac:dyDescent="0.3">
      <c r="A2" s="4" t="s">
        <v>82</v>
      </c>
    </row>
    <row r="4" spans="1:14" ht="33.75" customHeight="1" x14ac:dyDescent="0.3">
      <c r="A4" s="16" t="s">
        <v>83</v>
      </c>
      <c r="B4" s="16" t="s">
        <v>84</v>
      </c>
      <c r="C4" s="16" t="s">
        <v>85</v>
      </c>
      <c r="D4" s="16" t="s">
        <v>86</v>
      </c>
      <c r="E4" s="16" t="s">
        <v>87</v>
      </c>
      <c r="F4" s="16" t="s">
        <v>10</v>
      </c>
      <c r="G4" s="16" t="s">
        <v>88</v>
      </c>
      <c r="H4" s="16" t="s">
        <v>89</v>
      </c>
      <c r="I4" s="16" t="s">
        <v>39</v>
      </c>
      <c r="J4" s="16" t="s">
        <v>40</v>
      </c>
      <c r="K4" s="16" t="s">
        <v>41</v>
      </c>
      <c r="L4" s="16" t="s">
        <v>90</v>
      </c>
      <c r="M4" s="16" t="s">
        <v>91</v>
      </c>
      <c r="N4" s="16" t="s">
        <v>92</v>
      </c>
    </row>
    <row r="5" spans="1:14" x14ac:dyDescent="0.3">
      <c r="A5" s="17" t="s">
        <v>93</v>
      </c>
      <c r="B5" s="17" t="s">
        <v>94</v>
      </c>
      <c r="C5" s="17" t="s">
        <v>95</v>
      </c>
      <c r="D5" s="17" t="s">
        <v>96</v>
      </c>
      <c r="E5" s="17" t="s">
        <v>97</v>
      </c>
      <c r="F5" s="19" t="s">
        <v>16</v>
      </c>
      <c r="G5" s="18" t="str">
        <f>IFERROR(VLOOKUP(F5,'Cấu hình'!$F$7:$G$9,2,FALSE()),"")</f>
        <v>Lâm Hoài An</v>
      </c>
      <c r="H5" s="18">
        <f>COUNTIF('Test Cases'!$B$5:$B$300,A5)</f>
        <v>3</v>
      </c>
      <c r="I5" s="18">
        <f>H5-COUNTIFS('Test Cases'!$B$5:$B$300,A5,'Test Cases'!$T$5:$T$300,"Not Run")</f>
        <v>0</v>
      </c>
      <c r="J5" s="18">
        <f>COUNTIFS('Test Cases'!$B$5:$B$300,A5,'Test Cases'!$T$5:$T$300,"Pass")</f>
        <v>0</v>
      </c>
      <c r="K5" s="18">
        <f>COUNTIFS('Test Cases'!$B$5:$B$300,A5,'Test Cases'!$T$5:$T$300,"Fail")</f>
        <v>0</v>
      </c>
      <c r="L5" s="20">
        <f t="shared" ref="L5:L36" si="0">IF(H5=0,0,I5/H5)</f>
        <v>0</v>
      </c>
      <c r="M5" s="18" t="str">
        <f t="shared" ref="M5:M36" si="1">IF(H5=0,"CHƯA CÓ TC","Đã cover")</f>
        <v>Đã cover</v>
      </c>
      <c r="N5" s="21" t="str">
        <f>IFERROR(HYPERLINK("#'Test Cases'!A"&amp;(MATCH(A5,'Test Cases'!$B$5:$B$300,0)+4),"→ xem TC"),"")</f>
        <v>→ xem TC</v>
      </c>
    </row>
    <row r="6" spans="1:14" x14ac:dyDescent="0.3">
      <c r="A6" s="17" t="s">
        <v>98</v>
      </c>
      <c r="B6" s="17" t="s">
        <v>94</v>
      </c>
      <c r="C6" s="17" t="s">
        <v>99</v>
      </c>
      <c r="D6" s="17" t="s">
        <v>100</v>
      </c>
      <c r="E6" s="17" t="s">
        <v>101</v>
      </c>
      <c r="F6" s="19" t="s">
        <v>16</v>
      </c>
      <c r="G6" s="18" t="str">
        <f>IFERROR(VLOOKUP(F6,'Cấu hình'!$F$7:$G$9,2,FALSE()),"")</f>
        <v>Lâm Hoài An</v>
      </c>
      <c r="H6" s="18">
        <f>COUNTIF('Test Cases'!$B$5:$B$300,A6)</f>
        <v>2</v>
      </c>
      <c r="I6" s="18">
        <f>H6-COUNTIFS('Test Cases'!$B$5:$B$300,A6,'Test Cases'!$T$5:$T$300,"Not Run")</f>
        <v>0</v>
      </c>
      <c r="J6" s="18">
        <f>COUNTIFS('Test Cases'!$B$5:$B$300,A6,'Test Cases'!$T$5:$T$300,"Pass")</f>
        <v>0</v>
      </c>
      <c r="K6" s="18">
        <f>COUNTIFS('Test Cases'!$B$5:$B$300,A6,'Test Cases'!$T$5:$T$300,"Fail")</f>
        <v>0</v>
      </c>
      <c r="L6" s="20">
        <f t="shared" si="0"/>
        <v>0</v>
      </c>
      <c r="M6" s="18" t="str">
        <f t="shared" si="1"/>
        <v>Đã cover</v>
      </c>
      <c r="N6" s="21" t="str">
        <f>IFERROR(HYPERLINK("#'Test Cases'!A"&amp;(MATCH(A6,'Test Cases'!$B$5:$B$300,0)+4),"→ xem TC"),"")</f>
        <v>→ xem TC</v>
      </c>
    </row>
    <row r="7" spans="1:14" x14ac:dyDescent="0.3">
      <c r="A7" s="17" t="s">
        <v>102</v>
      </c>
      <c r="B7" s="17" t="s">
        <v>94</v>
      </c>
      <c r="C7" s="17" t="s">
        <v>103</v>
      </c>
      <c r="D7" s="17" t="s">
        <v>104</v>
      </c>
      <c r="E7" s="17" t="s">
        <v>105</v>
      </c>
      <c r="F7" s="19" t="s">
        <v>16</v>
      </c>
      <c r="G7" s="18" t="str">
        <f>IFERROR(VLOOKUP(F7,'Cấu hình'!$F$7:$G$9,2,FALSE()),"")</f>
        <v>Lâm Hoài An</v>
      </c>
      <c r="H7" s="18">
        <f>COUNTIF('Test Cases'!$B$5:$B$300,A7)</f>
        <v>2</v>
      </c>
      <c r="I7" s="18">
        <f>H7-COUNTIFS('Test Cases'!$B$5:$B$300,A7,'Test Cases'!$T$5:$T$300,"Not Run")</f>
        <v>0</v>
      </c>
      <c r="J7" s="18">
        <f>COUNTIFS('Test Cases'!$B$5:$B$300,A7,'Test Cases'!$T$5:$T$300,"Pass")</f>
        <v>0</v>
      </c>
      <c r="K7" s="18">
        <f>COUNTIFS('Test Cases'!$B$5:$B$300,A7,'Test Cases'!$T$5:$T$300,"Fail")</f>
        <v>0</v>
      </c>
      <c r="L7" s="20">
        <f t="shared" si="0"/>
        <v>0</v>
      </c>
      <c r="M7" s="18" t="str">
        <f t="shared" si="1"/>
        <v>Đã cover</v>
      </c>
      <c r="N7" s="21" t="str">
        <f>IFERROR(HYPERLINK("#'Test Cases'!A"&amp;(MATCH(A7,'Test Cases'!$B$5:$B$300,0)+4),"→ xem TC"),"")</f>
        <v>→ xem TC</v>
      </c>
    </row>
    <row r="8" spans="1:14" x14ac:dyDescent="0.3">
      <c r="A8" s="17" t="s">
        <v>106</v>
      </c>
      <c r="B8" s="17" t="s">
        <v>94</v>
      </c>
      <c r="C8" s="17" t="s">
        <v>107</v>
      </c>
      <c r="D8" s="17" t="s">
        <v>108</v>
      </c>
      <c r="E8" s="17" t="s">
        <v>109</v>
      </c>
      <c r="F8" s="19" t="s">
        <v>16</v>
      </c>
      <c r="G8" s="18" t="str">
        <f>IFERROR(VLOOKUP(F8,'Cấu hình'!$F$7:$G$9,2,FALSE()),"")</f>
        <v>Lâm Hoài An</v>
      </c>
      <c r="H8" s="18">
        <f>COUNTIF('Test Cases'!$B$5:$B$300,A8)</f>
        <v>1</v>
      </c>
      <c r="I8" s="18">
        <f>H8-COUNTIFS('Test Cases'!$B$5:$B$300,A8,'Test Cases'!$T$5:$T$300,"Not Run")</f>
        <v>0</v>
      </c>
      <c r="J8" s="18">
        <f>COUNTIFS('Test Cases'!$B$5:$B$300,A8,'Test Cases'!$T$5:$T$300,"Pass")</f>
        <v>0</v>
      </c>
      <c r="K8" s="18">
        <f>COUNTIFS('Test Cases'!$B$5:$B$300,A8,'Test Cases'!$T$5:$T$300,"Fail")</f>
        <v>0</v>
      </c>
      <c r="L8" s="20">
        <f t="shared" si="0"/>
        <v>0</v>
      </c>
      <c r="M8" s="18" t="str">
        <f t="shared" si="1"/>
        <v>Đã cover</v>
      </c>
      <c r="N8" s="21" t="str">
        <f>IFERROR(HYPERLINK("#'Test Cases'!A"&amp;(MATCH(A8,'Test Cases'!$B$5:$B$300,0)+4),"→ xem TC"),"")</f>
        <v>→ xem TC</v>
      </c>
    </row>
    <row r="9" spans="1:14" x14ac:dyDescent="0.3">
      <c r="A9" s="17" t="s">
        <v>110</v>
      </c>
      <c r="B9" s="17" t="s">
        <v>94</v>
      </c>
      <c r="C9" s="17" t="s">
        <v>111</v>
      </c>
      <c r="D9" s="17" t="s">
        <v>112</v>
      </c>
      <c r="E9" s="17" t="s">
        <v>113</v>
      </c>
      <c r="F9" s="19" t="s">
        <v>16</v>
      </c>
      <c r="G9" s="18" t="str">
        <f>IFERROR(VLOOKUP(F9,'Cấu hình'!$F$7:$G$9,2,FALSE()),"")</f>
        <v>Lâm Hoài An</v>
      </c>
      <c r="H9" s="18">
        <f>COUNTIF('Test Cases'!$B$5:$B$300,A9)</f>
        <v>2</v>
      </c>
      <c r="I9" s="18">
        <f>H9-COUNTIFS('Test Cases'!$B$5:$B$300,A9,'Test Cases'!$T$5:$T$300,"Not Run")</f>
        <v>0</v>
      </c>
      <c r="J9" s="18">
        <f>COUNTIFS('Test Cases'!$B$5:$B$300,A9,'Test Cases'!$T$5:$T$300,"Pass")</f>
        <v>0</v>
      </c>
      <c r="K9" s="18">
        <f>COUNTIFS('Test Cases'!$B$5:$B$300,A9,'Test Cases'!$T$5:$T$300,"Fail")</f>
        <v>0</v>
      </c>
      <c r="L9" s="20">
        <f t="shared" si="0"/>
        <v>0</v>
      </c>
      <c r="M9" s="18" t="str">
        <f t="shared" si="1"/>
        <v>Đã cover</v>
      </c>
      <c r="N9" s="21" t="str">
        <f>IFERROR(HYPERLINK("#'Test Cases'!A"&amp;(MATCH(A9,'Test Cases'!$B$5:$B$300,0)+4),"→ xem TC"),"")</f>
        <v>→ xem TC</v>
      </c>
    </row>
    <row r="10" spans="1:14" x14ac:dyDescent="0.3">
      <c r="A10" s="17" t="s">
        <v>114</v>
      </c>
      <c r="B10" s="17" t="s">
        <v>94</v>
      </c>
      <c r="C10" s="17" t="s">
        <v>115</v>
      </c>
      <c r="D10" s="17" t="s">
        <v>116</v>
      </c>
      <c r="E10" s="17" t="s">
        <v>117</v>
      </c>
      <c r="F10" s="19" t="s">
        <v>16</v>
      </c>
      <c r="G10" s="18" t="str">
        <f>IFERROR(VLOOKUP(F10,'Cấu hình'!$F$7:$G$9,2,FALSE()),"")</f>
        <v>Lâm Hoài An</v>
      </c>
      <c r="H10" s="18">
        <f>COUNTIF('Test Cases'!$B$5:$B$300,A10)</f>
        <v>2</v>
      </c>
      <c r="I10" s="18">
        <f>H10-COUNTIFS('Test Cases'!$B$5:$B$300,A10,'Test Cases'!$T$5:$T$300,"Not Run")</f>
        <v>0</v>
      </c>
      <c r="J10" s="18">
        <f>COUNTIFS('Test Cases'!$B$5:$B$300,A10,'Test Cases'!$T$5:$T$300,"Pass")</f>
        <v>0</v>
      </c>
      <c r="K10" s="18">
        <f>COUNTIFS('Test Cases'!$B$5:$B$300,A10,'Test Cases'!$T$5:$T$300,"Fail")</f>
        <v>0</v>
      </c>
      <c r="L10" s="20">
        <f t="shared" si="0"/>
        <v>0</v>
      </c>
      <c r="M10" s="18" t="str">
        <f t="shared" si="1"/>
        <v>Đã cover</v>
      </c>
      <c r="N10" s="21" t="str">
        <f>IFERROR(HYPERLINK("#'Test Cases'!A"&amp;(MATCH(A10,'Test Cases'!$B$5:$B$300,0)+4),"→ xem TC"),"")</f>
        <v>→ xem TC</v>
      </c>
    </row>
    <row r="11" spans="1:14" x14ac:dyDescent="0.3">
      <c r="A11" s="17" t="s">
        <v>118</v>
      </c>
      <c r="B11" s="17" t="s">
        <v>119</v>
      </c>
      <c r="C11" s="17" t="s">
        <v>120</v>
      </c>
      <c r="D11" s="17" t="s">
        <v>104</v>
      </c>
      <c r="E11" s="17" t="s">
        <v>121</v>
      </c>
      <c r="F11" s="19" t="s">
        <v>16</v>
      </c>
      <c r="G11" s="18" t="str">
        <f>IFERROR(VLOOKUP(F11,'Cấu hình'!$F$7:$G$9,2,FALSE()),"")</f>
        <v>Lâm Hoài An</v>
      </c>
      <c r="H11" s="18">
        <f>COUNTIF('Test Cases'!$B$5:$B$300,A11)</f>
        <v>4</v>
      </c>
      <c r="I11" s="18">
        <f>H11-COUNTIFS('Test Cases'!$B$5:$B$300,A11,'Test Cases'!$T$5:$T$300,"Not Run")</f>
        <v>0</v>
      </c>
      <c r="J11" s="18">
        <f>COUNTIFS('Test Cases'!$B$5:$B$300,A11,'Test Cases'!$T$5:$T$300,"Pass")</f>
        <v>0</v>
      </c>
      <c r="K11" s="18">
        <f>COUNTIFS('Test Cases'!$B$5:$B$300,A11,'Test Cases'!$T$5:$T$300,"Fail")</f>
        <v>0</v>
      </c>
      <c r="L11" s="20">
        <f t="shared" si="0"/>
        <v>0</v>
      </c>
      <c r="M11" s="18" t="str">
        <f t="shared" si="1"/>
        <v>Đã cover</v>
      </c>
      <c r="N11" s="21" t="str">
        <f>IFERROR(HYPERLINK("#'Test Cases'!A"&amp;(MATCH(A11,'Test Cases'!$B$5:$B$300,0)+4),"→ xem TC"),"")</f>
        <v>→ xem TC</v>
      </c>
    </row>
    <row r="12" spans="1:14" x14ac:dyDescent="0.3">
      <c r="A12" s="17" t="s">
        <v>122</v>
      </c>
      <c r="B12" s="17" t="s">
        <v>123</v>
      </c>
      <c r="C12" s="17" t="s">
        <v>124</v>
      </c>
      <c r="D12" s="17" t="s">
        <v>125</v>
      </c>
      <c r="E12" s="17" t="s">
        <v>126</v>
      </c>
      <c r="F12" s="19" t="s">
        <v>16</v>
      </c>
      <c r="G12" s="18" t="str">
        <f>IFERROR(VLOOKUP(F12,'Cấu hình'!$F$7:$G$9,2,FALSE()),"")</f>
        <v>Lâm Hoài An</v>
      </c>
      <c r="H12" s="18">
        <f>COUNTIF('Test Cases'!$B$5:$B$300,A12)</f>
        <v>2</v>
      </c>
      <c r="I12" s="18">
        <f>H12-COUNTIFS('Test Cases'!$B$5:$B$300,A12,'Test Cases'!$T$5:$T$300,"Not Run")</f>
        <v>0</v>
      </c>
      <c r="J12" s="18">
        <f>COUNTIFS('Test Cases'!$B$5:$B$300,A12,'Test Cases'!$T$5:$T$300,"Pass")</f>
        <v>0</v>
      </c>
      <c r="K12" s="18">
        <f>COUNTIFS('Test Cases'!$B$5:$B$300,A12,'Test Cases'!$T$5:$T$300,"Fail")</f>
        <v>0</v>
      </c>
      <c r="L12" s="20">
        <f t="shared" si="0"/>
        <v>0</v>
      </c>
      <c r="M12" s="18" t="str">
        <f t="shared" si="1"/>
        <v>Đã cover</v>
      </c>
      <c r="N12" s="21" t="str">
        <f>IFERROR(HYPERLINK("#'Test Cases'!A"&amp;(MATCH(A12,'Test Cases'!$B$5:$B$300,0)+4),"→ xem TC"),"")</f>
        <v>→ xem TC</v>
      </c>
    </row>
    <row r="13" spans="1:14" x14ac:dyDescent="0.3">
      <c r="A13" s="17" t="s">
        <v>127</v>
      </c>
      <c r="B13" s="17" t="s">
        <v>123</v>
      </c>
      <c r="C13" s="17" t="s">
        <v>128</v>
      </c>
      <c r="D13" s="17" t="s">
        <v>129</v>
      </c>
      <c r="E13" s="17" t="s">
        <v>130</v>
      </c>
      <c r="F13" s="19" t="s">
        <v>16</v>
      </c>
      <c r="G13" s="18" t="str">
        <f>IFERROR(VLOOKUP(F13,'Cấu hình'!$F$7:$G$9,2,FALSE()),"")</f>
        <v>Lâm Hoài An</v>
      </c>
      <c r="H13" s="18">
        <f>COUNTIF('Test Cases'!$B$5:$B$300,A13)</f>
        <v>2</v>
      </c>
      <c r="I13" s="18">
        <f>H13-COUNTIFS('Test Cases'!$B$5:$B$300,A13,'Test Cases'!$T$5:$T$300,"Not Run")</f>
        <v>0</v>
      </c>
      <c r="J13" s="18">
        <f>COUNTIFS('Test Cases'!$B$5:$B$300,A13,'Test Cases'!$T$5:$T$300,"Pass")</f>
        <v>0</v>
      </c>
      <c r="K13" s="18">
        <f>COUNTIFS('Test Cases'!$B$5:$B$300,A13,'Test Cases'!$T$5:$T$300,"Fail")</f>
        <v>0</v>
      </c>
      <c r="L13" s="20">
        <f t="shared" si="0"/>
        <v>0</v>
      </c>
      <c r="M13" s="18" t="str">
        <f t="shared" si="1"/>
        <v>Đã cover</v>
      </c>
      <c r="N13" s="21" t="str">
        <f>IFERROR(HYPERLINK("#'Test Cases'!A"&amp;(MATCH(A13,'Test Cases'!$B$5:$B$300,0)+4),"→ xem TC"),"")</f>
        <v>→ xem TC</v>
      </c>
    </row>
    <row r="14" spans="1:14" x14ac:dyDescent="0.3">
      <c r="A14" s="17" t="s">
        <v>131</v>
      </c>
      <c r="B14" s="17" t="s">
        <v>123</v>
      </c>
      <c r="C14" s="17" t="s">
        <v>132</v>
      </c>
      <c r="D14" s="17" t="s">
        <v>133</v>
      </c>
      <c r="E14" s="17" t="s">
        <v>126</v>
      </c>
      <c r="F14" s="19" t="s">
        <v>16</v>
      </c>
      <c r="G14" s="18" t="str">
        <f>IFERROR(VLOOKUP(F14,'Cấu hình'!$F$7:$G$9,2,FALSE()),"")</f>
        <v>Lâm Hoài An</v>
      </c>
      <c r="H14" s="18">
        <f>COUNTIF('Test Cases'!$B$5:$B$300,A14)</f>
        <v>1</v>
      </c>
      <c r="I14" s="18">
        <f>H14-COUNTIFS('Test Cases'!$B$5:$B$300,A14,'Test Cases'!$T$5:$T$300,"Not Run")</f>
        <v>0</v>
      </c>
      <c r="J14" s="18">
        <f>COUNTIFS('Test Cases'!$B$5:$B$300,A14,'Test Cases'!$T$5:$T$300,"Pass")</f>
        <v>0</v>
      </c>
      <c r="K14" s="18">
        <f>COUNTIFS('Test Cases'!$B$5:$B$300,A14,'Test Cases'!$T$5:$T$300,"Fail")</f>
        <v>0</v>
      </c>
      <c r="L14" s="20">
        <f t="shared" si="0"/>
        <v>0</v>
      </c>
      <c r="M14" s="18" t="str">
        <f t="shared" si="1"/>
        <v>Đã cover</v>
      </c>
      <c r="N14" s="21" t="str">
        <f>IFERROR(HYPERLINK("#'Test Cases'!A"&amp;(MATCH(A14,'Test Cases'!$B$5:$B$300,0)+4),"→ xem TC"),"")</f>
        <v>→ xem TC</v>
      </c>
    </row>
    <row r="15" spans="1:14" x14ac:dyDescent="0.3">
      <c r="A15" s="17" t="s">
        <v>134</v>
      </c>
      <c r="B15" s="17" t="s">
        <v>135</v>
      </c>
      <c r="C15" s="17" t="s">
        <v>136</v>
      </c>
      <c r="D15" s="17" t="s">
        <v>137</v>
      </c>
      <c r="E15" s="17" t="s">
        <v>126</v>
      </c>
      <c r="F15" s="19" t="s">
        <v>16</v>
      </c>
      <c r="G15" s="18" t="str">
        <f>IFERROR(VLOOKUP(F15,'Cấu hình'!$F$7:$G$9,2,FALSE()),"")</f>
        <v>Lâm Hoài An</v>
      </c>
      <c r="H15" s="18">
        <f>COUNTIF('Test Cases'!$B$5:$B$300,A15)</f>
        <v>2</v>
      </c>
      <c r="I15" s="18">
        <f>H15-COUNTIFS('Test Cases'!$B$5:$B$300,A15,'Test Cases'!$T$5:$T$300,"Not Run")</f>
        <v>0</v>
      </c>
      <c r="J15" s="18">
        <f>COUNTIFS('Test Cases'!$B$5:$B$300,A15,'Test Cases'!$T$5:$T$300,"Pass")</f>
        <v>0</v>
      </c>
      <c r="K15" s="18">
        <f>COUNTIFS('Test Cases'!$B$5:$B$300,A15,'Test Cases'!$T$5:$T$300,"Fail")</f>
        <v>0</v>
      </c>
      <c r="L15" s="20">
        <f t="shared" si="0"/>
        <v>0</v>
      </c>
      <c r="M15" s="18" t="str">
        <f t="shared" si="1"/>
        <v>Đã cover</v>
      </c>
      <c r="N15" s="21" t="str">
        <f>IFERROR(HYPERLINK("#'Test Cases'!A"&amp;(MATCH(A15,'Test Cases'!$B$5:$B$300,0)+4),"→ xem TC"),"")</f>
        <v>→ xem TC</v>
      </c>
    </row>
    <row r="16" spans="1:14" x14ac:dyDescent="0.3">
      <c r="A16" s="17" t="s">
        <v>138</v>
      </c>
      <c r="B16" s="17" t="s">
        <v>135</v>
      </c>
      <c r="C16" s="17" t="s">
        <v>139</v>
      </c>
      <c r="D16" s="17" t="s">
        <v>140</v>
      </c>
      <c r="E16" s="17" t="s">
        <v>141</v>
      </c>
      <c r="F16" s="19" t="s">
        <v>16</v>
      </c>
      <c r="G16" s="18" t="str">
        <f>IFERROR(VLOOKUP(F16,'Cấu hình'!$F$7:$G$9,2,FALSE()),"")</f>
        <v>Lâm Hoài An</v>
      </c>
      <c r="H16" s="18">
        <f>COUNTIF('Test Cases'!$B$5:$B$300,A16)</f>
        <v>2</v>
      </c>
      <c r="I16" s="18">
        <f>H16-COUNTIFS('Test Cases'!$B$5:$B$300,A16,'Test Cases'!$T$5:$T$300,"Not Run")</f>
        <v>0</v>
      </c>
      <c r="J16" s="18">
        <f>COUNTIFS('Test Cases'!$B$5:$B$300,A16,'Test Cases'!$T$5:$T$300,"Pass")</f>
        <v>0</v>
      </c>
      <c r="K16" s="18">
        <f>COUNTIFS('Test Cases'!$B$5:$B$300,A16,'Test Cases'!$T$5:$T$300,"Fail")</f>
        <v>0</v>
      </c>
      <c r="L16" s="20">
        <f t="shared" si="0"/>
        <v>0</v>
      </c>
      <c r="M16" s="18" t="str">
        <f t="shared" si="1"/>
        <v>Đã cover</v>
      </c>
      <c r="N16" s="21" t="str">
        <f>IFERROR(HYPERLINK("#'Test Cases'!A"&amp;(MATCH(A16,'Test Cases'!$B$5:$B$300,0)+4),"→ xem TC"),"")</f>
        <v>→ xem TC</v>
      </c>
    </row>
    <row r="17" spans="1:14" x14ac:dyDescent="0.3">
      <c r="A17" s="17" t="s">
        <v>142</v>
      </c>
      <c r="B17" s="17" t="s">
        <v>135</v>
      </c>
      <c r="C17" s="17" t="s">
        <v>143</v>
      </c>
      <c r="D17" s="17" t="s">
        <v>144</v>
      </c>
      <c r="E17" s="17" t="s">
        <v>141</v>
      </c>
      <c r="F17" s="19" t="s">
        <v>16</v>
      </c>
      <c r="G17" s="18" t="str">
        <f>IFERROR(VLOOKUP(F17,'Cấu hình'!$F$7:$G$9,2,FALSE()),"")</f>
        <v>Lâm Hoài An</v>
      </c>
      <c r="H17" s="18">
        <f>COUNTIF('Test Cases'!$B$5:$B$300,A17)</f>
        <v>2</v>
      </c>
      <c r="I17" s="18">
        <f>H17-COUNTIFS('Test Cases'!$B$5:$B$300,A17,'Test Cases'!$T$5:$T$300,"Not Run")</f>
        <v>0</v>
      </c>
      <c r="J17" s="18">
        <f>COUNTIFS('Test Cases'!$B$5:$B$300,A17,'Test Cases'!$T$5:$T$300,"Pass")</f>
        <v>0</v>
      </c>
      <c r="K17" s="18">
        <f>COUNTIFS('Test Cases'!$B$5:$B$300,A17,'Test Cases'!$T$5:$T$300,"Fail")</f>
        <v>0</v>
      </c>
      <c r="L17" s="20">
        <f t="shared" si="0"/>
        <v>0</v>
      </c>
      <c r="M17" s="18" t="str">
        <f t="shared" si="1"/>
        <v>Đã cover</v>
      </c>
      <c r="N17" s="21" t="str">
        <f>IFERROR(HYPERLINK("#'Test Cases'!A"&amp;(MATCH(A17,'Test Cases'!$B$5:$B$300,0)+4),"→ xem TC"),"")</f>
        <v>→ xem TC</v>
      </c>
    </row>
    <row r="18" spans="1:14" x14ac:dyDescent="0.3">
      <c r="A18" s="17" t="s">
        <v>145</v>
      </c>
      <c r="B18" s="17" t="s">
        <v>135</v>
      </c>
      <c r="C18" s="17" t="s">
        <v>146</v>
      </c>
      <c r="D18" s="17" t="s">
        <v>144</v>
      </c>
      <c r="E18" s="17" t="s">
        <v>147</v>
      </c>
      <c r="F18" s="19" t="s">
        <v>16</v>
      </c>
      <c r="G18" s="18" t="str">
        <f>IFERROR(VLOOKUP(F18,'Cấu hình'!$F$7:$G$9,2,FALSE()),"")</f>
        <v>Lâm Hoài An</v>
      </c>
      <c r="H18" s="18">
        <f>COUNTIF('Test Cases'!$B$5:$B$300,A18)</f>
        <v>2</v>
      </c>
      <c r="I18" s="18">
        <f>H18-COUNTIFS('Test Cases'!$B$5:$B$300,A18,'Test Cases'!$T$5:$T$300,"Not Run")</f>
        <v>0</v>
      </c>
      <c r="J18" s="18">
        <f>COUNTIFS('Test Cases'!$B$5:$B$300,A18,'Test Cases'!$T$5:$T$300,"Pass")</f>
        <v>0</v>
      </c>
      <c r="K18" s="18">
        <f>COUNTIFS('Test Cases'!$B$5:$B$300,A18,'Test Cases'!$T$5:$T$300,"Fail")</f>
        <v>0</v>
      </c>
      <c r="L18" s="20">
        <f t="shared" si="0"/>
        <v>0</v>
      </c>
      <c r="M18" s="18" t="str">
        <f t="shared" si="1"/>
        <v>Đã cover</v>
      </c>
      <c r="N18" s="21" t="str">
        <f>IFERROR(HYPERLINK("#'Test Cases'!A"&amp;(MATCH(A18,'Test Cases'!$B$5:$B$300,0)+4),"→ xem TC"),"")</f>
        <v>→ xem TC</v>
      </c>
    </row>
    <row r="19" spans="1:14" x14ac:dyDescent="0.3">
      <c r="A19" s="17" t="s">
        <v>148</v>
      </c>
      <c r="B19" s="17" t="s">
        <v>135</v>
      </c>
      <c r="C19" s="17" t="s">
        <v>149</v>
      </c>
      <c r="D19" s="17" t="s">
        <v>144</v>
      </c>
      <c r="E19" s="17" t="s">
        <v>150</v>
      </c>
      <c r="F19" s="19" t="s">
        <v>16</v>
      </c>
      <c r="G19" s="18" t="str">
        <f>IFERROR(VLOOKUP(F19,'Cấu hình'!$F$7:$G$9,2,FALSE()),"")</f>
        <v>Lâm Hoài An</v>
      </c>
      <c r="H19" s="18">
        <f>COUNTIF('Test Cases'!$B$5:$B$300,A19)</f>
        <v>2</v>
      </c>
      <c r="I19" s="18">
        <f>H19-COUNTIFS('Test Cases'!$B$5:$B$300,A19,'Test Cases'!$T$5:$T$300,"Not Run")</f>
        <v>0</v>
      </c>
      <c r="J19" s="18">
        <f>COUNTIFS('Test Cases'!$B$5:$B$300,A19,'Test Cases'!$T$5:$T$300,"Pass")</f>
        <v>0</v>
      </c>
      <c r="K19" s="18">
        <f>COUNTIFS('Test Cases'!$B$5:$B$300,A19,'Test Cases'!$T$5:$T$300,"Fail")</f>
        <v>0</v>
      </c>
      <c r="L19" s="20">
        <f t="shared" si="0"/>
        <v>0</v>
      </c>
      <c r="M19" s="18" t="str">
        <f t="shared" si="1"/>
        <v>Đã cover</v>
      </c>
      <c r="N19" s="21" t="str">
        <f>IFERROR(HYPERLINK("#'Test Cases'!A"&amp;(MATCH(A19,'Test Cases'!$B$5:$B$300,0)+4),"→ xem TC"),"")</f>
        <v>→ xem TC</v>
      </c>
    </row>
    <row r="20" spans="1:14" x14ac:dyDescent="0.3">
      <c r="A20" s="17" t="s">
        <v>151</v>
      </c>
      <c r="B20" s="17" t="s">
        <v>135</v>
      </c>
      <c r="C20" s="17" t="s">
        <v>152</v>
      </c>
      <c r="D20" s="17" t="s">
        <v>144</v>
      </c>
      <c r="E20" s="17" t="s">
        <v>153</v>
      </c>
      <c r="F20" s="19" t="s">
        <v>16</v>
      </c>
      <c r="G20" s="18" t="str">
        <f>IFERROR(VLOOKUP(F20,'Cấu hình'!$F$7:$G$9,2,FALSE()),"")</f>
        <v>Lâm Hoài An</v>
      </c>
      <c r="H20" s="18">
        <f>COUNTIF('Test Cases'!$B$5:$B$300,A20)</f>
        <v>3</v>
      </c>
      <c r="I20" s="18">
        <f>H20-COUNTIFS('Test Cases'!$B$5:$B$300,A20,'Test Cases'!$T$5:$T$300,"Not Run")</f>
        <v>0</v>
      </c>
      <c r="J20" s="18">
        <f>COUNTIFS('Test Cases'!$B$5:$B$300,A20,'Test Cases'!$T$5:$T$300,"Pass")</f>
        <v>0</v>
      </c>
      <c r="K20" s="18">
        <f>COUNTIFS('Test Cases'!$B$5:$B$300,A20,'Test Cases'!$T$5:$T$300,"Fail")</f>
        <v>0</v>
      </c>
      <c r="L20" s="20">
        <f t="shared" si="0"/>
        <v>0</v>
      </c>
      <c r="M20" s="18" t="str">
        <f t="shared" si="1"/>
        <v>Đã cover</v>
      </c>
      <c r="N20" s="21" t="str">
        <f>IFERROR(HYPERLINK("#'Test Cases'!A"&amp;(MATCH(A20,'Test Cases'!$B$5:$B$300,0)+4),"→ xem TC"),"")</f>
        <v>→ xem TC</v>
      </c>
    </row>
    <row r="21" spans="1:14" x14ac:dyDescent="0.3">
      <c r="A21" s="17" t="s">
        <v>154</v>
      </c>
      <c r="B21" s="17" t="s">
        <v>135</v>
      </c>
      <c r="C21" s="17" t="s">
        <v>155</v>
      </c>
      <c r="D21" s="17" t="s">
        <v>137</v>
      </c>
      <c r="E21" s="17" t="s">
        <v>156</v>
      </c>
      <c r="F21" s="19" t="s">
        <v>16</v>
      </c>
      <c r="G21" s="18" t="str">
        <f>IFERROR(VLOOKUP(F21,'Cấu hình'!$F$7:$G$9,2,FALSE()),"")</f>
        <v>Lâm Hoài An</v>
      </c>
      <c r="H21" s="18">
        <f>COUNTIF('Test Cases'!$B$5:$B$300,A21)</f>
        <v>1</v>
      </c>
      <c r="I21" s="18">
        <f>H21-COUNTIFS('Test Cases'!$B$5:$B$300,A21,'Test Cases'!$T$5:$T$300,"Not Run")</f>
        <v>0</v>
      </c>
      <c r="J21" s="18">
        <f>COUNTIFS('Test Cases'!$B$5:$B$300,A21,'Test Cases'!$T$5:$T$300,"Pass")</f>
        <v>0</v>
      </c>
      <c r="K21" s="18">
        <f>COUNTIFS('Test Cases'!$B$5:$B$300,A21,'Test Cases'!$T$5:$T$300,"Fail")</f>
        <v>0</v>
      </c>
      <c r="L21" s="20">
        <f t="shared" si="0"/>
        <v>0</v>
      </c>
      <c r="M21" s="18" t="str">
        <f t="shared" si="1"/>
        <v>Đã cover</v>
      </c>
      <c r="N21" s="21" t="str">
        <f>IFERROR(HYPERLINK("#'Test Cases'!A"&amp;(MATCH(A21,'Test Cases'!$B$5:$B$300,0)+4),"→ xem TC"),"")</f>
        <v>→ xem TC</v>
      </c>
    </row>
    <row r="22" spans="1:14" x14ac:dyDescent="0.3">
      <c r="A22" s="17" t="s">
        <v>157</v>
      </c>
      <c r="B22" s="17" t="s">
        <v>158</v>
      </c>
      <c r="C22" s="17" t="s">
        <v>159</v>
      </c>
      <c r="D22" s="17" t="s">
        <v>160</v>
      </c>
      <c r="E22" s="17" t="s">
        <v>161</v>
      </c>
      <c r="F22" s="19" t="s">
        <v>16</v>
      </c>
      <c r="G22" s="18" t="str">
        <f>IFERROR(VLOOKUP(F22,'Cấu hình'!$F$7:$G$9,2,FALSE()),"")</f>
        <v>Lâm Hoài An</v>
      </c>
      <c r="H22" s="18">
        <f>COUNTIF('Test Cases'!$B$5:$B$300,A22)</f>
        <v>2</v>
      </c>
      <c r="I22" s="18">
        <f>H22-COUNTIFS('Test Cases'!$B$5:$B$300,A22,'Test Cases'!$T$5:$T$300,"Not Run")</f>
        <v>0</v>
      </c>
      <c r="J22" s="18">
        <f>COUNTIFS('Test Cases'!$B$5:$B$300,A22,'Test Cases'!$T$5:$T$300,"Pass")</f>
        <v>0</v>
      </c>
      <c r="K22" s="18">
        <f>COUNTIFS('Test Cases'!$B$5:$B$300,A22,'Test Cases'!$T$5:$T$300,"Fail")</f>
        <v>0</v>
      </c>
      <c r="L22" s="20">
        <f t="shared" si="0"/>
        <v>0</v>
      </c>
      <c r="M22" s="18" t="str">
        <f t="shared" si="1"/>
        <v>Đã cover</v>
      </c>
      <c r="N22" s="21" t="str">
        <f>IFERROR(HYPERLINK("#'Test Cases'!A"&amp;(MATCH(A22,'Test Cases'!$B$5:$B$300,0)+4),"→ xem TC"),"")</f>
        <v>→ xem TC</v>
      </c>
    </row>
    <row r="23" spans="1:14" x14ac:dyDescent="0.3">
      <c r="A23" s="17" t="s">
        <v>162</v>
      </c>
      <c r="B23" s="17" t="s">
        <v>158</v>
      </c>
      <c r="C23" s="17" t="s">
        <v>163</v>
      </c>
      <c r="D23" s="17" t="s">
        <v>164</v>
      </c>
      <c r="E23" s="17" t="s">
        <v>161</v>
      </c>
      <c r="F23" s="19" t="s">
        <v>16</v>
      </c>
      <c r="G23" s="18" t="str">
        <f>IFERROR(VLOOKUP(F23,'Cấu hình'!$F$7:$G$9,2,FALSE()),"")</f>
        <v>Lâm Hoài An</v>
      </c>
      <c r="H23" s="18">
        <f>COUNTIF('Test Cases'!$B$5:$B$300,A23)</f>
        <v>2</v>
      </c>
      <c r="I23" s="18">
        <f>H23-COUNTIFS('Test Cases'!$B$5:$B$300,A23,'Test Cases'!$T$5:$T$300,"Not Run")</f>
        <v>0</v>
      </c>
      <c r="J23" s="18">
        <f>COUNTIFS('Test Cases'!$B$5:$B$300,A23,'Test Cases'!$T$5:$T$300,"Pass")</f>
        <v>0</v>
      </c>
      <c r="K23" s="18">
        <f>COUNTIFS('Test Cases'!$B$5:$B$300,A23,'Test Cases'!$T$5:$T$300,"Fail")</f>
        <v>0</v>
      </c>
      <c r="L23" s="20">
        <f t="shared" si="0"/>
        <v>0</v>
      </c>
      <c r="M23" s="18" t="str">
        <f t="shared" si="1"/>
        <v>Đã cover</v>
      </c>
      <c r="N23" s="21" t="str">
        <f>IFERROR(HYPERLINK("#'Test Cases'!A"&amp;(MATCH(A23,'Test Cases'!$B$5:$B$300,0)+4),"→ xem TC"),"")</f>
        <v>→ xem TC</v>
      </c>
    </row>
    <row r="24" spans="1:14" x14ac:dyDescent="0.3">
      <c r="A24" s="17" t="s">
        <v>165</v>
      </c>
      <c r="B24" s="17" t="s">
        <v>158</v>
      </c>
      <c r="C24" s="17" t="s">
        <v>166</v>
      </c>
      <c r="D24" s="17" t="s">
        <v>167</v>
      </c>
      <c r="E24" s="17" t="s">
        <v>168</v>
      </c>
      <c r="F24" s="19" t="s">
        <v>16</v>
      </c>
      <c r="G24" s="18" t="str">
        <f>IFERROR(VLOOKUP(F24,'Cấu hình'!$F$7:$G$9,2,FALSE()),"")</f>
        <v>Lâm Hoài An</v>
      </c>
      <c r="H24" s="18">
        <f>COUNTIF('Test Cases'!$B$5:$B$300,A24)</f>
        <v>2</v>
      </c>
      <c r="I24" s="18">
        <f>H24-COUNTIFS('Test Cases'!$B$5:$B$300,A24,'Test Cases'!$T$5:$T$300,"Not Run")</f>
        <v>0</v>
      </c>
      <c r="J24" s="18">
        <f>COUNTIFS('Test Cases'!$B$5:$B$300,A24,'Test Cases'!$T$5:$T$300,"Pass")</f>
        <v>0</v>
      </c>
      <c r="K24" s="18">
        <f>COUNTIFS('Test Cases'!$B$5:$B$300,A24,'Test Cases'!$T$5:$T$300,"Fail")</f>
        <v>0</v>
      </c>
      <c r="L24" s="20">
        <f t="shared" si="0"/>
        <v>0</v>
      </c>
      <c r="M24" s="18" t="str">
        <f t="shared" si="1"/>
        <v>Đã cover</v>
      </c>
      <c r="N24" s="21" t="str">
        <f>IFERROR(HYPERLINK("#'Test Cases'!A"&amp;(MATCH(A24,'Test Cases'!$B$5:$B$300,0)+4),"→ xem TC"),"")</f>
        <v>→ xem TC</v>
      </c>
    </row>
    <row r="25" spans="1:14" x14ac:dyDescent="0.3">
      <c r="A25" s="17" t="s">
        <v>169</v>
      </c>
      <c r="B25" s="17" t="s">
        <v>158</v>
      </c>
      <c r="C25" s="17" t="s">
        <v>170</v>
      </c>
      <c r="D25" s="17" t="s">
        <v>167</v>
      </c>
      <c r="E25" s="17" t="s">
        <v>171</v>
      </c>
      <c r="F25" s="19" t="s">
        <v>16</v>
      </c>
      <c r="G25" s="18" t="str">
        <f>IFERROR(VLOOKUP(F25,'Cấu hình'!$F$7:$G$9,2,FALSE()),"")</f>
        <v>Lâm Hoài An</v>
      </c>
      <c r="H25" s="18">
        <f>COUNTIF('Test Cases'!$B$5:$B$300,A25)</f>
        <v>2</v>
      </c>
      <c r="I25" s="18">
        <f>H25-COUNTIFS('Test Cases'!$B$5:$B$300,A25,'Test Cases'!$T$5:$T$300,"Not Run")</f>
        <v>0</v>
      </c>
      <c r="J25" s="18">
        <f>COUNTIFS('Test Cases'!$B$5:$B$300,A25,'Test Cases'!$T$5:$T$300,"Pass")</f>
        <v>0</v>
      </c>
      <c r="K25" s="18">
        <f>COUNTIFS('Test Cases'!$B$5:$B$300,A25,'Test Cases'!$T$5:$T$300,"Fail")</f>
        <v>0</v>
      </c>
      <c r="L25" s="20">
        <f t="shared" si="0"/>
        <v>0</v>
      </c>
      <c r="M25" s="18" t="str">
        <f t="shared" si="1"/>
        <v>Đã cover</v>
      </c>
      <c r="N25" s="21" t="str">
        <f>IFERROR(HYPERLINK("#'Test Cases'!A"&amp;(MATCH(A25,'Test Cases'!$B$5:$B$300,0)+4),"→ xem TC"),"")</f>
        <v>→ xem TC</v>
      </c>
    </row>
    <row r="26" spans="1:14" ht="22.8" x14ac:dyDescent="0.3">
      <c r="A26" s="17" t="s">
        <v>172</v>
      </c>
      <c r="B26" s="17" t="s">
        <v>158</v>
      </c>
      <c r="C26" s="17" t="s">
        <v>173</v>
      </c>
      <c r="D26" s="17" t="s">
        <v>167</v>
      </c>
      <c r="E26" s="17" t="s">
        <v>174</v>
      </c>
      <c r="F26" s="19" t="s">
        <v>16</v>
      </c>
      <c r="G26" s="18" t="str">
        <f>IFERROR(VLOOKUP(F26,'Cấu hình'!$F$7:$G$9,2,FALSE()),"")</f>
        <v>Lâm Hoài An</v>
      </c>
      <c r="H26" s="18">
        <f>COUNTIF('Test Cases'!$B$5:$B$300,A26)</f>
        <v>3</v>
      </c>
      <c r="I26" s="18">
        <f>H26-COUNTIFS('Test Cases'!$B$5:$B$300,A26,'Test Cases'!$T$5:$T$300,"Not Run")</f>
        <v>0</v>
      </c>
      <c r="J26" s="18">
        <f>COUNTIFS('Test Cases'!$B$5:$B$300,A26,'Test Cases'!$T$5:$T$300,"Pass")</f>
        <v>0</v>
      </c>
      <c r="K26" s="18">
        <f>COUNTIFS('Test Cases'!$B$5:$B$300,A26,'Test Cases'!$T$5:$T$300,"Fail")</f>
        <v>0</v>
      </c>
      <c r="L26" s="20">
        <f t="shared" si="0"/>
        <v>0</v>
      </c>
      <c r="M26" s="18" t="str">
        <f t="shared" si="1"/>
        <v>Đã cover</v>
      </c>
      <c r="N26" s="21" t="str">
        <f>IFERROR(HYPERLINK("#'Test Cases'!A"&amp;(MATCH(A26,'Test Cases'!$B$5:$B$300,0)+4),"→ xem TC"),"")</f>
        <v>→ xem TC</v>
      </c>
    </row>
    <row r="27" spans="1:14" x14ac:dyDescent="0.3">
      <c r="A27" s="17" t="s">
        <v>175</v>
      </c>
      <c r="B27" s="17" t="s">
        <v>158</v>
      </c>
      <c r="C27" s="17" t="s">
        <v>176</v>
      </c>
      <c r="D27" s="17" t="s">
        <v>167</v>
      </c>
      <c r="E27" s="17" t="s">
        <v>177</v>
      </c>
      <c r="F27" s="19" t="s">
        <v>16</v>
      </c>
      <c r="G27" s="18" t="str">
        <f>IFERROR(VLOOKUP(F27,'Cấu hình'!$F$7:$G$9,2,FALSE()),"")</f>
        <v>Lâm Hoài An</v>
      </c>
      <c r="H27" s="18">
        <f>COUNTIF('Test Cases'!$B$5:$B$300,A27)</f>
        <v>2</v>
      </c>
      <c r="I27" s="18">
        <f>H27-COUNTIFS('Test Cases'!$B$5:$B$300,A27,'Test Cases'!$T$5:$T$300,"Not Run")</f>
        <v>0</v>
      </c>
      <c r="J27" s="18">
        <f>COUNTIFS('Test Cases'!$B$5:$B$300,A27,'Test Cases'!$T$5:$T$300,"Pass")</f>
        <v>0</v>
      </c>
      <c r="K27" s="18">
        <f>COUNTIFS('Test Cases'!$B$5:$B$300,A27,'Test Cases'!$T$5:$T$300,"Fail")</f>
        <v>0</v>
      </c>
      <c r="L27" s="20">
        <f t="shared" si="0"/>
        <v>0</v>
      </c>
      <c r="M27" s="18" t="str">
        <f t="shared" si="1"/>
        <v>Đã cover</v>
      </c>
      <c r="N27" s="21" t="str">
        <f>IFERROR(HYPERLINK("#'Test Cases'!A"&amp;(MATCH(A27,'Test Cases'!$B$5:$B$300,0)+4),"→ xem TC"),"")</f>
        <v>→ xem TC</v>
      </c>
    </row>
    <row r="28" spans="1:14" x14ac:dyDescent="0.3">
      <c r="A28" s="17" t="s">
        <v>178</v>
      </c>
      <c r="B28" s="17" t="s">
        <v>179</v>
      </c>
      <c r="C28" s="17" t="s">
        <v>180</v>
      </c>
      <c r="D28" s="17" t="s">
        <v>181</v>
      </c>
      <c r="E28" s="17" t="s">
        <v>182</v>
      </c>
      <c r="F28" s="19" t="s">
        <v>21</v>
      </c>
      <c r="G28" s="18" t="str">
        <f>IFERROR(VLOOKUP(F28,'Cấu hình'!$F$7:$G$9,2,FALSE()),"")</f>
        <v>Nguyễn Phúc Khang</v>
      </c>
      <c r="H28" s="18">
        <f>COUNTIF('Test Cases'!$B$5:$B$300,A28)</f>
        <v>3</v>
      </c>
      <c r="I28" s="18">
        <f>H28-COUNTIFS('Test Cases'!$B$5:$B$300,A28,'Test Cases'!$T$5:$T$300,"Not Run")</f>
        <v>0</v>
      </c>
      <c r="J28" s="18">
        <f>COUNTIFS('Test Cases'!$B$5:$B$300,A28,'Test Cases'!$T$5:$T$300,"Pass")</f>
        <v>0</v>
      </c>
      <c r="K28" s="18">
        <f>COUNTIFS('Test Cases'!$B$5:$B$300,A28,'Test Cases'!$T$5:$T$300,"Fail")</f>
        <v>0</v>
      </c>
      <c r="L28" s="20">
        <f t="shared" si="0"/>
        <v>0</v>
      </c>
      <c r="M28" s="18" t="str">
        <f t="shared" si="1"/>
        <v>Đã cover</v>
      </c>
      <c r="N28" s="21" t="str">
        <f>IFERROR(HYPERLINK("#'Test Cases'!A"&amp;(MATCH(A28,'Test Cases'!$B$5:$B$300,0)+4),"→ xem TC"),"")</f>
        <v>→ xem TC</v>
      </c>
    </row>
    <row r="29" spans="1:14" x14ac:dyDescent="0.3">
      <c r="A29" s="17" t="s">
        <v>183</v>
      </c>
      <c r="B29" s="17" t="s">
        <v>179</v>
      </c>
      <c r="C29" s="17" t="s">
        <v>184</v>
      </c>
      <c r="D29" s="17" t="s">
        <v>181</v>
      </c>
      <c r="E29" s="17" t="s">
        <v>185</v>
      </c>
      <c r="F29" s="19" t="s">
        <v>21</v>
      </c>
      <c r="G29" s="18" t="str">
        <f>IFERROR(VLOOKUP(F29,'Cấu hình'!$F$7:$G$9,2,FALSE()),"")</f>
        <v>Nguyễn Phúc Khang</v>
      </c>
      <c r="H29" s="18">
        <f>COUNTIF('Test Cases'!$B$5:$B$300,A29)</f>
        <v>2</v>
      </c>
      <c r="I29" s="18">
        <f>H29-COUNTIFS('Test Cases'!$B$5:$B$300,A29,'Test Cases'!$T$5:$T$300,"Not Run")</f>
        <v>0</v>
      </c>
      <c r="J29" s="18">
        <f>COUNTIFS('Test Cases'!$B$5:$B$300,A29,'Test Cases'!$T$5:$T$300,"Pass")</f>
        <v>0</v>
      </c>
      <c r="K29" s="18">
        <f>COUNTIFS('Test Cases'!$B$5:$B$300,A29,'Test Cases'!$T$5:$T$300,"Fail")</f>
        <v>0</v>
      </c>
      <c r="L29" s="20">
        <f t="shared" si="0"/>
        <v>0</v>
      </c>
      <c r="M29" s="18" t="str">
        <f t="shared" si="1"/>
        <v>Đã cover</v>
      </c>
      <c r="N29" s="21" t="str">
        <f>IFERROR(HYPERLINK("#'Test Cases'!A"&amp;(MATCH(A29,'Test Cases'!$B$5:$B$300,0)+4),"→ xem TC"),"")</f>
        <v>→ xem TC</v>
      </c>
    </row>
    <row r="30" spans="1:14" x14ac:dyDescent="0.3">
      <c r="A30" s="17" t="s">
        <v>186</v>
      </c>
      <c r="B30" s="17" t="s">
        <v>179</v>
      </c>
      <c r="C30" s="17" t="s">
        <v>187</v>
      </c>
      <c r="D30" s="17" t="s">
        <v>181</v>
      </c>
      <c r="E30" s="17" t="s">
        <v>188</v>
      </c>
      <c r="F30" s="19" t="s">
        <v>21</v>
      </c>
      <c r="G30" s="18" t="str">
        <f>IFERROR(VLOOKUP(F30,'Cấu hình'!$F$7:$G$9,2,FALSE()),"")</f>
        <v>Nguyễn Phúc Khang</v>
      </c>
      <c r="H30" s="18">
        <f>COUNTIF('Test Cases'!$B$5:$B$300,A30)</f>
        <v>2</v>
      </c>
      <c r="I30" s="18">
        <f>H30-COUNTIFS('Test Cases'!$B$5:$B$300,A30,'Test Cases'!$T$5:$T$300,"Not Run")</f>
        <v>0</v>
      </c>
      <c r="J30" s="18">
        <f>COUNTIFS('Test Cases'!$B$5:$B$300,A30,'Test Cases'!$T$5:$T$300,"Pass")</f>
        <v>0</v>
      </c>
      <c r="K30" s="18">
        <f>COUNTIFS('Test Cases'!$B$5:$B$300,A30,'Test Cases'!$T$5:$T$300,"Fail")</f>
        <v>0</v>
      </c>
      <c r="L30" s="20">
        <f t="shared" si="0"/>
        <v>0</v>
      </c>
      <c r="M30" s="18" t="str">
        <f t="shared" si="1"/>
        <v>Đã cover</v>
      </c>
      <c r="N30" s="21" t="str">
        <f>IFERROR(HYPERLINK("#'Test Cases'!A"&amp;(MATCH(A30,'Test Cases'!$B$5:$B$300,0)+4),"→ xem TC"),"")</f>
        <v>→ xem TC</v>
      </c>
    </row>
    <row r="31" spans="1:14" x14ac:dyDescent="0.3">
      <c r="A31" s="17" t="s">
        <v>189</v>
      </c>
      <c r="B31" s="17" t="s">
        <v>179</v>
      </c>
      <c r="C31" s="17" t="s">
        <v>190</v>
      </c>
      <c r="D31" s="17" t="s">
        <v>181</v>
      </c>
      <c r="E31" s="17" t="s">
        <v>191</v>
      </c>
      <c r="F31" s="19" t="s">
        <v>21</v>
      </c>
      <c r="G31" s="18" t="str">
        <f>IFERROR(VLOOKUP(F31,'Cấu hình'!$F$7:$G$9,2,FALSE()),"")</f>
        <v>Nguyễn Phúc Khang</v>
      </c>
      <c r="H31" s="18">
        <f>COUNTIF('Test Cases'!$B$5:$B$300,A31)</f>
        <v>2</v>
      </c>
      <c r="I31" s="18">
        <f>H31-COUNTIFS('Test Cases'!$B$5:$B$300,A31,'Test Cases'!$T$5:$T$300,"Not Run")</f>
        <v>0</v>
      </c>
      <c r="J31" s="18">
        <f>COUNTIFS('Test Cases'!$B$5:$B$300,A31,'Test Cases'!$T$5:$T$300,"Pass")</f>
        <v>0</v>
      </c>
      <c r="K31" s="18">
        <f>COUNTIFS('Test Cases'!$B$5:$B$300,A31,'Test Cases'!$T$5:$T$300,"Fail")</f>
        <v>0</v>
      </c>
      <c r="L31" s="20">
        <f t="shared" si="0"/>
        <v>0</v>
      </c>
      <c r="M31" s="18" t="str">
        <f t="shared" si="1"/>
        <v>Đã cover</v>
      </c>
      <c r="N31" s="21" t="str">
        <f>IFERROR(HYPERLINK("#'Test Cases'!A"&amp;(MATCH(A31,'Test Cases'!$B$5:$B$300,0)+4),"→ xem TC"),"")</f>
        <v>→ xem TC</v>
      </c>
    </row>
    <row r="32" spans="1:14" x14ac:dyDescent="0.3">
      <c r="A32" s="17" t="s">
        <v>192</v>
      </c>
      <c r="B32" s="17" t="s">
        <v>179</v>
      </c>
      <c r="C32" s="17" t="s">
        <v>193</v>
      </c>
      <c r="D32" s="17" t="s">
        <v>194</v>
      </c>
      <c r="E32" s="17" t="s">
        <v>126</v>
      </c>
      <c r="F32" s="19" t="s">
        <v>21</v>
      </c>
      <c r="G32" s="18" t="str">
        <f>IFERROR(VLOOKUP(F32,'Cấu hình'!$F$7:$G$9,2,FALSE()),"")</f>
        <v>Nguyễn Phúc Khang</v>
      </c>
      <c r="H32" s="18">
        <f>COUNTIF('Test Cases'!$B$5:$B$300,A32)</f>
        <v>1</v>
      </c>
      <c r="I32" s="18">
        <f>H32-COUNTIFS('Test Cases'!$B$5:$B$300,A32,'Test Cases'!$T$5:$T$300,"Not Run")</f>
        <v>0</v>
      </c>
      <c r="J32" s="18">
        <f>COUNTIFS('Test Cases'!$B$5:$B$300,A32,'Test Cases'!$T$5:$T$300,"Pass")</f>
        <v>0</v>
      </c>
      <c r="K32" s="18">
        <f>COUNTIFS('Test Cases'!$B$5:$B$300,A32,'Test Cases'!$T$5:$T$300,"Fail")</f>
        <v>0</v>
      </c>
      <c r="L32" s="20">
        <f t="shared" si="0"/>
        <v>0</v>
      </c>
      <c r="M32" s="18" t="str">
        <f t="shared" si="1"/>
        <v>Đã cover</v>
      </c>
      <c r="N32" s="21" t="str">
        <f>IFERROR(HYPERLINK("#'Test Cases'!A"&amp;(MATCH(A32,'Test Cases'!$B$5:$B$300,0)+4),"→ xem TC"),"")</f>
        <v>→ xem TC</v>
      </c>
    </row>
    <row r="33" spans="1:14" x14ac:dyDescent="0.3">
      <c r="A33" s="17" t="s">
        <v>195</v>
      </c>
      <c r="B33" s="17" t="s">
        <v>196</v>
      </c>
      <c r="C33" s="17" t="s">
        <v>197</v>
      </c>
      <c r="D33" s="17" t="s">
        <v>198</v>
      </c>
      <c r="E33" s="17" t="s">
        <v>199</v>
      </c>
      <c r="F33" s="19" t="s">
        <v>21</v>
      </c>
      <c r="G33" s="18" t="str">
        <f>IFERROR(VLOOKUP(F33,'Cấu hình'!$F$7:$G$9,2,FALSE()),"")</f>
        <v>Nguyễn Phúc Khang</v>
      </c>
      <c r="H33" s="18">
        <f>COUNTIF('Test Cases'!$B$5:$B$300,A33)</f>
        <v>2</v>
      </c>
      <c r="I33" s="18">
        <f>H33-COUNTIFS('Test Cases'!$B$5:$B$300,A33,'Test Cases'!$T$5:$T$300,"Not Run")</f>
        <v>0</v>
      </c>
      <c r="J33" s="18">
        <f>COUNTIFS('Test Cases'!$B$5:$B$300,A33,'Test Cases'!$T$5:$T$300,"Pass")</f>
        <v>0</v>
      </c>
      <c r="K33" s="18">
        <f>COUNTIFS('Test Cases'!$B$5:$B$300,A33,'Test Cases'!$T$5:$T$300,"Fail")</f>
        <v>0</v>
      </c>
      <c r="L33" s="20">
        <f t="shared" si="0"/>
        <v>0</v>
      </c>
      <c r="M33" s="18" t="str">
        <f t="shared" si="1"/>
        <v>Đã cover</v>
      </c>
      <c r="N33" s="21" t="str">
        <f>IFERROR(HYPERLINK("#'Test Cases'!A"&amp;(MATCH(A33,'Test Cases'!$B$5:$B$300,0)+4),"→ xem TC"),"")</f>
        <v>→ xem TC</v>
      </c>
    </row>
    <row r="34" spans="1:14" x14ac:dyDescent="0.3">
      <c r="A34" s="17" t="s">
        <v>200</v>
      </c>
      <c r="B34" s="17" t="s">
        <v>196</v>
      </c>
      <c r="C34" s="17" t="s">
        <v>201</v>
      </c>
      <c r="D34" s="17" t="s">
        <v>202</v>
      </c>
      <c r="E34" s="17" t="s">
        <v>203</v>
      </c>
      <c r="F34" s="19" t="s">
        <v>21</v>
      </c>
      <c r="G34" s="18" t="str">
        <f>IFERROR(VLOOKUP(F34,'Cấu hình'!$F$7:$G$9,2,FALSE()),"")</f>
        <v>Nguyễn Phúc Khang</v>
      </c>
      <c r="H34" s="18">
        <f>COUNTIF('Test Cases'!$B$5:$B$300,A34)</f>
        <v>2</v>
      </c>
      <c r="I34" s="18">
        <f>H34-COUNTIFS('Test Cases'!$B$5:$B$300,A34,'Test Cases'!$T$5:$T$300,"Not Run")</f>
        <v>0</v>
      </c>
      <c r="J34" s="18">
        <f>COUNTIFS('Test Cases'!$B$5:$B$300,A34,'Test Cases'!$T$5:$T$300,"Pass")</f>
        <v>0</v>
      </c>
      <c r="K34" s="18">
        <f>COUNTIFS('Test Cases'!$B$5:$B$300,A34,'Test Cases'!$T$5:$T$300,"Fail")</f>
        <v>0</v>
      </c>
      <c r="L34" s="20">
        <f t="shared" si="0"/>
        <v>0</v>
      </c>
      <c r="M34" s="18" t="str">
        <f t="shared" si="1"/>
        <v>Đã cover</v>
      </c>
      <c r="N34" s="21" t="str">
        <f>IFERROR(HYPERLINK("#'Test Cases'!A"&amp;(MATCH(A34,'Test Cases'!$B$5:$B$300,0)+4),"→ xem TC"),"")</f>
        <v>→ xem TC</v>
      </c>
    </row>
    <row r="35" spans="1:14" x14ac:dyDescent="0.3">
      <c r="A35" s="17" t="s">
        <v>204</v>
      </c>
      <c r="B35" s="17" t="s">
        <v>196</v>
      </c>
      <c r="C35" s="17" t="s">
        <v>205</v>
      </c>
      <c r="D35" s="17" t="s">
        <v>198</v>
      </c>
      <c r="E35" s="17" t="s">
        <v>206</v>
      </c>
      <c r="F35" s="19" t="s">
        <v>21</v>
      </c>
      <c r="G35" s="18" t="str">
        <f>IFERROR(VLOOKUP(F35,'Cấu hình'!$F$7:$G$9,2,FALSE()),"")</f>
        <v>Nguyễn Phúc Khang</v>
      </c>
      <c r="H35" s="18">
        <f>COUNTIF('Test Cases'!$B$5:$B$300,A35)</f>
        <v>3</v>
      </c>
      <c r="I35" s="18">
        <f>H35-COUNTIFS('Test Cases'!$B$5:$B$300,A35,'Test Cases'!$T$5:$T$300,"Not Run")</f>
        <v>0</v>
      </c>
      <c r="J35" s="18">
        <f>COUNTIFS('Test Cases'!$B$5:$B$300,A35,'Test Cases'!$T$5:$T$300,"Pass")</f>
        <v>0</v>
      </c>
      <c r="K35" s="18">
        <f>COUNTIFS('Test Cases'!$B$5:$B$300,A35,'Test Cases'!$T$5:$T$300,"Fail")</f>
        <v>0</v>
      </c>
      <c r="L35" s="20">
        <f t="shared" si="0"/>
        <v>0</v>
      </c>
      <c r="M35" s="18" t="str">
        <f t="shared" si="1"/>
        <v>Đã cover</v>
      </c>
      <c r="N35" s="21" t="str">
        <f>IFERROR(HYPERLINK("#'Test Cases'!A"&amp;(MATCH(A35,'Test Cases'!$B$5:$B$300,0)+4),"→ xem TC"),"")</f>
        <v>→ xem TC</v>
      </c>
    </row>
    <row r="36" spans="1:14" x14ac:dyDescent="0.3">
      <c r="A36" s="17" t="s">
        <v>207</v>
      </c>
      <c r="B36" s="17" t="s">
        <v>196</v>
      </c>
      <c r="C36" s="17" t="s">
        <v>208</v>
      </c>
      <c r="D36" s="17" t="s">
        <v>198</v>
      </c>
      <c r="E36" s="17" t="s">
        <v>209</v>
      </c>
      <c r="F36" s="19" t="s">
        <v>21</v>
      </c>
      <c r="G36" s="18" t="str">
        <f>IFERROR(VLOOKUP(F36,'Cấu hình'!$F$7:$G$9,2,FALSE()),"")</f>
        <v>Nguyễn Phúc Khang</v>
      </c>
      <c r="H36" s="18">
        <f>COUNTIF('Test Cases'!$B$5:$B$300,A36)</f>
        <v>2</v>
      </c>
      <c r="I36" s="18">
        <f>H36-COUNTIFS('Test Cases'!$B$5:$B$300,A36,'Test Cases'!$T$5:$T$300,"Not Run")</f>
        <v>0</v>
      </c>
      <c r="J36" s="18">
        <f>COUNTIFS('Test Cases'!$B$5:$B$300,A36,'Test Cases'!$T$5:$T$300,"Pass")</f>
        <v>0</v>
      </c>
      <c r="K36" s="18">
        <f>COUNTIFS('Test Cases'!$B$5:$B$300,A36,'Test Cases'!$T$5:$T$300,"Fail")</f>
        <v>0</v>
      </c>
      <c r="L36" s="20">
        <f t="shared" si="0"/>
        <v>0</v>
      </c>
      <c r="M36" s="18" t="str">
        <f t="shared" si="1"/>
        <v>Đã cover</v>
      </c>
      <c r="N36" s="21" t="str">
        <f>IFERROR(HYPERLINK("#'Test Cases'!A"&amp;(MATCH(A36,'Test Cases'!$B$5:$B$300,0)+4),"→ xem TC"),"")</f>
        <v>→ xem TC</v>
      </c>
    </row>
    <row r="37" spans="1:14" ht="22.8" x14ac:dyDescent="0.3">
      <c r="A37" s="17" t="s">
        <v>210</v>
      </c>
      <c r="B37" s="17" t="s">
        <v>196</v>
      </c>
      <c r="C37" s="17" t="s">
        <v>211</v>
      </c>
      <c r="D37" s="17" t="s">
        <v>202</v>
      </c>
      <c r="E37" s="17" t="s">
        <v>212</v>
      </c>
      <c r="F37" s="19" t="s">
        <v>21</v>
      </c>
      <c r="G37" s="18" t="str">
        <f>IFERROR(VLOOKUP(F37,'Cấu hình'!$F$7:$G$9,2,FALSE()),"")</f>
        <v>Nguyễn Phúc Khang</v>
      </c>
      <c r="H37" s="18">
        <f>COUNTIF('Test Cases'!$B$5:$B$300,A37)</f>
        <v>2</v>
      </c>
      <c r="I37" s="18">
        <f>H37-COUNTIFS('Test Cases'!$B$5:$B$300,A37,'Test Cases'!$T$5:$T$300,"Not Run")</f>
        <v>0</v>
      </c>
      <c r="J37" s="18">
        <f>COUNTIFS('Test Cases'!$B$5:$B$300,A37,'Test Cases'!$T$5:$T$300,"Pass")</f>
        <v>0</v>
      </c>
      <c r="K37" s="18">
        <f>COUNTIFS('Test Cases'!$B$5:$B$300,A37,'Test Cases'!$T$5:$T$300,"Fail")</f>
        <v>0</v>
      </c>
      <c r="L37" s="20">
        <f t="shared" ref="L37:L57" si="2">IF(H37=0,0,I37/H37)</f>
        <v>0</v>
      </c>
      <c r="M37" s="18" t="str">
        <f t="shared" ref="M37:M56" si="3">IF(H37=0,"CHƯA CÓ TC","Đã cover")</f>
        <v>Đã cover</v>
      </c>
      <c r="N37" s="21" t="str">
        <f>IFERROR(HYPERLINK("#'Test Cases'!A"&amp;(MATCH(A37,'Test Cases'!$B$5:$B$300,0)+4),"→ xem TC"),"")</f>
        <v>→ xem TC</v>
      </c>
    </row>
    <row r="38" spans="1:14" x14ac:dyDescent="0.3">
      <c r="A38" s="17" t="s">
        <v>213</v>
      </c>
      <c r="B38" s="17" t="s">
        <v>196</v>
      </c>
      <c r="C38" s="17" t="s">
        <v>214</v>
      </c>
      <c r="D38" s="17" t="s">
        <v>198</v>
      </c>
      <c r="E38" s="17" t="s">
        <v>215</v>
      </c>
      <c r="F38" s="19" t="s">
        <v>21</v>
      </c>
      <c r="G38" s="18" t="str">
        <f>IFERROR(VLOOKUP(F38,'Cấu hình'!$F$7:$G$9,2,FALSE()),"")</f>
        <v>Nguyễn Phúc Khang</v>
      </c>
      <c r="H38" s="18">
        <f>COUNTIF('Test Cases'!$B$5:$B$300,A38)</f>
        <v>2</v>
      </c>
      <c r="I38" s="18">
        <f>H38-COUNTIFS('Test Cases'!$B$5:$B$300,A38,'Test Cases'!$T$5:$T$300,"Not Run")</f>
        <v>0</v>
      </c>
      <c r="J38" s="18">
        <f>COUNTIFS('Test Cases'!$B$5:$B$300,A38,'Test Cases'!$T$5:$T$300,"Pass")</f>
        <v>0</v>
      </c>
      <c r="K38" s="18">
        <f>COUNTIFS('Test Cases'!$B$5:$B$300,A38,'Test Cases'!$T$5:$T$300,"Fail")</f>
        <v>0</v>
      </c>
      <c r="L38" s="20">
        <f t="shared" si="2"/>
        <v>0</v>
      </c>
      <c r="M38" s="18" t="str">
        <f t="shared" si="3"/>
        <v>Đã cover</v>
      </c>
      <c r="N38" s="21" t="str">
        <f>IFERROR(HYPERLINK("#'Test Cases'!A"&amp;(MATCH(A38,'Test Cases'!$B$5:$B$300,0)+4),"→ xem TC"),"")</f>
        <v>→ xem TC</v>
      </c>
    </row>
    <row r="39" spans="1:14" x14ac:dyDescent="0.3">
      <c r="A39" s="17" t="s">
        <v>216</v>
      </c>
      <c r="B39" s="17" t="s">
        <v>217</v>
      </c>
      <c r="C39" s="17" t="s">
        <v>218</v>
      </c>
      <c r="D39" s="17" t="s">
        <v>219</v>
      </c>
      <c r="E39" s="17" t="s">
        <v>126</v>
      </c>
      <c r="F39" s="19" t="s">
        <v>21</v>
      </c>
      <c r="G39" s="18" t="str">
        <f>IFERROR(VLOOKUP(F39,'Cấu hình'!$F$7:$G$9,2,FALSE()),"")</f>
        <v>Nguyễn Phúc Khang</v>
      </c>
      <c r="H39" s="18">
        <f>COUNTIF('Test Cases'!$B$5:$B$300,A39)</f>
        <v>2</v>
      </c>
      <c r="I39" s="18">
        <f>H39-COUNTIFS('Test Cases'!$B$5:$B$300,A39,'Test Cases'!$T$5:$T$300,"Not Run")</f>
        <v>0</v>
      </c>
      <c r="J39" s="18">
        <f>COUNTIFS('Test Cases'!$B$5:$B$300,A39,'Test Cases'!$T$5:$T$300,"Pass")</f>
        <v>0</v>
      </c>
      <c r="K39" s="18">
        <f>COUNTIFS('Test Cases'!$B$5:$B$300,A39,'Test Cases'!$T$5:$T$300,"Fail")</f>
        <v>0</v>
      </c>
      <c r="L39" s="20">
        <f t="shared" si="2"/>
        <v>0</v>
      </c>
      <c r="M39" s="18" t="str">
        <f t="shared" si="3"/>
        <v>Đã cover</v>
      </c>
      <c r="N39" s="21" t="str">
        <f>IFERROR(HYPERLINK("#'Test Cases'!A"&amp;(MATCH(A39,'Test Cases'!$B$5:$B$300,0)+4),"→ xem TC"),"")</f>
        <v>→ xem TC</v>
      </c>
    </row>
    <row r="40" spans="1:14" x14ac:dyDescent="0.3">
      <c r="A40" s="17" t="s">
        <v>220</v>
      </c>
      <c r="B40" s="17" t="s">
        <v>217</v>
      </c>
      <c r="C40" s="17" t="s">
        <v>221</v>
      </c>
      <c r="D40" s="17" t="s">
        <v>222</v>
      </c>
      <c r="E40" s="17" t="s">
        <v>223</v>
      </c>
      <c r="F40" s="19" t="s">
        <v>21</v>
      </c>
      <c r="G40" s="18" t="str">
        <f>IFERROR(VLOOKUP(F40,'Cấu hình'!$F$7:$G$9,2,FALSE()),"")</f>
        <v>Nguyễn Phúc Khang</v>
      </c>
      <c r="H40" s="18">
        <f>COUNTIF('Test Cases'!$B$5:$B$300,A40)</f>
        <v>3</v>
      </c>
      <c r="I40" s="18">
        <f>H40-COUNTIFS('Test Cases'!$B$5:$B$300,A40,'Test Cases'!$T$5:$T$300,"Not Run")</f>
        <v>0</v>
      </c>
      <c r="J40" s="18">
        <f>COUNTIFS('Test Cases'!$B$5:$B$300,A40,'Test Cases'!$T$5:$T$300,"Pass")</f>
        <v>0</v>
      </c>
      <c r="K40" s="18">
        <f>COUNTIFS('Test Cases'!$B$5:$B$300,A40,'Test Cases'!$T$5:$T$300,"Fail")</f>
        <v>0</v>
      </c>
      <c r="L40" s="20">
        <f t="shared" si="2"/>
        <v>0</v>
      </c>
      <c r="M40" s="18" t="str">
        <f t="shared" si="3"/>
        <v>Đã cover</v>
      </c>
      <c r="N40" s="21" t="str">
        <f>IFERROR(HYPERLINK("#'Test Cases'!A"&amp;(MATCH(A40,'Test Cases'!$B$5:$B$300,0)+4),"→ xem TC"),"")</f>
        <v>→ xem TC</v>
      </c>
    </row>
    <row r="41" spans="1:14" x14ac:dyDescent="0.3">
      <c r="A41" s="17" t="s">
        <v>224</v>
      </c>
      <c r="B41" s="17" t="s">
        <v>217</v>
      </c>
      <c r="C41" s="17" t="s">
        <v>225</v>
      </c>
      <c r="D41" s="17" t="s">
        <v>219</v>
      </c>
      <c r="E41" s="17" t="s">
        <v>161</v>
      </c>
      <c r="F41" s="19" t="s">
        <v>21</v>
      </c>
      <c r="G41" s="18" t="str">
        <f>IFERROR(VLOOKUP(F41,'Cấu hình'!$F$7:$G$9,2,FALSE()),"")</f>
        <v>Nguyễn Phúc Khang</v>
      </c>
      <c r="H41" s="18">
        <f>COUNTIF('Test Cases'!$B$5:$B$300,A41)</f>
        <v>2</v>
      </c>
      <c r="I41" s="18">
        <f>H41-COUNTIFS('Test Cases'!$B$5:$B$300,A41,'Test Cases'!$T$5:$T$300,"Not Run")</f>
        <v>0</v>
      </c>
      <c r="J41" s="18">
        <f>COUNTIFS('Test Cases'!$B$5:$B$300,A41,'Test Cases'!$T$5:$T$300,"Pass")</f>
        <v>0</v>
      </c>
      <c r="K41" s="18">
        <f>COUNTIFS('Test Cases'!$B$5:$B$300,A41,'Test Cases'!$T$5:$T$300,"Fail")</f>
        <v>0</v>
      </c>
      <c r="L41" s="20">
        <f t="shared" si="2"/>
        <v>0</v>
      </c>
      <c r="M41" s="18" t="str">
        <f t="shared" si="3"/>
        <v>Đã cover</v>
      </c>
      <c r="N41" s="21" t="str">
        <f>IFERROR(HYPERLINK("#'Test Cases'!A"&amp;(MATCH(A41,'Test Cases'!$B$5:$B$300,0)+4),"→ xem TC"),"")</f>
        <v>→ xem TC</v>
      </c>
    </row>
    <row r="42" spans="1:14" x14ac:dyDescent="0.3">
      <c r="A42" s="17" t="s">
        <v>226</v>
      </c>
      <c r="B42" s="17" t="s">
        <v>217</v>
      </c>
      <c r="C42" s="17" t="s">
        <v>227</v>
      </c>
      <c r="D42" s="17" t="s">
        <v>228</v>
      </c>
      <c r="E42" s="17" t="s">
        <v>229</v>
      </c>
      <c r="F42" s="19" t="s">
        <v>21</v>
      </c>
      <c r="G42" s="18" t="str">
        <f>IFERROR(VLOOKUP(F42,'Cấu hình'!$F$7:$G$9,2,FALSE()),"")</f>
        <v>Nguyễn Phúc Khang</v>
      </c>
      <c r="H42" s="18">
        <f>COUNTIF('Test Cases'!$B$5:$B$300,A42)</f>
        <v>2</v>
      </c>
      <c r="I42" s="18">
        <f>H42-COUNTIFS('Test Cases'!$B$5:$B$300,A42,'Test Cases'!$T$5:$T$300,"Not Run")</f>
        <v>0</v>
      </c>
      <c r="J42" s="18">
        <f>COUNTIFS('Test Cases'!$B$5:$B$300,A42,'Test Cases'!$T$5:$T$300,"Pass")</f>
        <v>0</v>
      </c>
      <c r="K42" s="18">
        <f>COUNTIFS('Test Cases'!$B$5:$B$300,A42,'Test Cases'!$T$5:$T$300,"Fail")</f>
        <v>0</v>
      </c>
      <c r="L42" s="20">
        <f t="shared" si="2"/>
        <v>0</v>
      </c>
      <c r="M42" s="18" t="str">
        <f t="shared" si="3"/>
        <v>Đã cover</v>
      </c>
      <c r="N42" s="21" t="str">
        <f>IFERROR(HYPERLINK("#'Test Cases'!A"&amp;(MATCH(A42,'Test Cases'!$B$5:$B$300,0)+4),"→ xem TC"),"")</f>
        <v>→ xem TC</v>
      </c>
    </row>
    <row r="43" spans="1:14" x14ac:dyDescent="0.3">
      <c r="A43" s="17" t="s">
        <v>230</v>
      </c>
      <c r="B43" s="17" t="s">
        <v>231</v>
      </c>
      <c r="C43" s="17" t="s">
        <v>232</v>
      </c>
      <c r="D43" s="17" t="s">
        <v>233</v>
      </c>
      <c r="E43" s="17" t="s">
        <v>161</v>
      </c>
      <c r="F43" s="19" t="s">
        <v>21</v>
      </c>
      <c r="G43" s="18" t="str">
        <f>IFERROR(VLOOKUP(F43,'Cấu hình'!$F$7:$G$9,2,FALSE()),"")</f>
        <v>Nguyễn Phúc Khang</v>
      </c>
      <c r="H43" s="18">
        <f>COUNTIF('Test Cases'!$B$5:$B$300,A43)</f>
        <v>1</v>
      </c>
      <c r="I43" s="18">
        <f>H43-COUNTIFS('Test Cases'!$B$5:$B$300,A43,'Test Cases'!$T$5:$T$300,"Not Run")</f>
        <v>0</v>
      </c>
      <c r="J43" s="18">
        <f>COUNTIFS('Test Cases'!$B$5:$B$300,A43,'Test Cases'!$T$5:$T$300,"Pass")</f>
        <v>0</v>
      </c>
      <c r="K43" s="18">
        <f>COUNTIFS('Test Cases'!$B$5:$B$300,A43,'Test Cases'!$T$5:$T$300,"Fail")</f>
        <v>0</v>
      </c>
      <c r="L43" s="20">
        <f t="shared" si="2"/>
        <v>0</v>
      </c>
      <c r="M43" s="18" t="str">
        <f t="shared" si="3"/>
        <v>Đã cover</v>
      </c>
      <c r="N43" s="21" t="str">
        <f>IFERROR(HYPERLINK("#'Test Cases'!A"&amp;(MATCH(A43,'Test Cases'!$B$5:$B$300,0)+4),"→ xem TC"),"")</f>
        <v>→ xem TC</v>
      </c>
    </row>
    <row r="44" spans="1:14" x14ac:dyDescent="0.3">
      <c r="A44" s="17" t="s">
        <v>234</v>
      </c>
      <c r="B44" s="17" t="s">
        <v>231</v>
      </c>
      <c r="C44" s="17" t="s">
        <v>235</v>
      </c>
      <c r="D44" s="17" t="s">
        <v>236</v>
      </c>
      <c r="E44" s="17" t="s">
        <v>237</v>
      </c>
      <c r="F44" s="19" t="s">
        <v>21</v>
      </c>
      <c r="G44" s="18" t="str">
        <f>IFERROR(VLOOKUP(F44,'Cấu hình'!$F$7:$G$9,2,FALSE()),"")</f>
        <v>Nguyễn Phúc Khang</v>
      </c>
      <c r="H44" s="18">
        <f>COUNTIF('Test Cases'!$B$5:$B$300,A44)</f>
        <v>1</v>
      </c>
      <c r="I44" s="18">
        <f>H44-COUNTIFS('Test Cases'!$B$5:$B$300,A44,'Test Cases'!$T$5:$T$300,"Not Run")</f>
        <v>0</v>
      </c>
      <c r="J44" s="18">
        <f>COUNTIFS('Test Cases'!$B$5:$B$300,A44,'Test Cases'!$T$5:$T$300,"Pass")</f>
        <v>0</v>
      </c>
      <c r="K44" s="18">
        <f>COUNTIFS('Test Cases'!$B$5:$B$300,A44,'Test Cases'!$T$5:$T$300,"Fail")</f>
        <v>0</v>
      </c>
      <c r="L44" s="20">
        <f t="shared" si="2"/>
        <v>0</v>
      </c>
      <c r="M44" s="18" t="str">
        <f t="shared" si="3"/>
        <v>Đã cover</v>
      </c>
      <c r="N44" s="21" t="str">
        <f>IFERROR(HYPERLINK("#'Test Cases'!A"&amp;(MATCH(A44,'Test Cases'!$B$5:$B$300,0)+4),"→ xem TC"),"")</f>
        <v>→ xem TC</v>
      </c>
    </row>
    <row r="45" spans="1:14" x14ac:dyDescent="0.3">
      <c r="A45" s="17" t="s">
        <v>238</v>
      </c>
      <c r="B45" s="17" t="s">
        <v>239</v>
      </c>
      <c r="C45" s="17" t="s">
        <v>240</v>
      </c>
      <c r="D45" s="17" t="s">
        <v>241</v>
      </c>
      <c r="E45" s="17" t="s">
        <v>161</v>
      </c>
      <c r="F45" s="19" t="s">
        <v>21</v>
      </c>
      <c r="G45" s="18" t="str">
        <f>IFERROR(VLOOKUP(F45,'Cấu hình'!$F$7:$G$9,2,FALSE()),"")</f>
        <v>Nguyễn Phúc Khang</v>
      </c>
      <c r="H45" s="18">
        <f>COUNTIF('Test Cases'!$B$5:$B$300,A45)</f>
        <v>1</v>
      </c>
      <c r="I45" s="18">
        <f>H45-COUNTIFS('Test Cases'!$B$5:$B$300,A45,'Test Cases'!$T$5:$T$300,"Not Run")</f>
        <v>0</v>
      </c>
      <c r="J45" s="18">
        <f>COUNTIFS('Test Cases'!$B$5:$B$300,A45,'Test Cases'!$T$5:$T$300,"Pass")</f>
        <v>0</v>
      </c>
      <c r="K45" s="18">
        <f>COUNTIFS('Test Cases'!$B$5:$B$300,A45,'Test Cases'!$T$5:$T$300,"Fail")</f>
        <v>0</v>
      </c>
      <c r="L45" s="20">
        <f t="shared" si="2"/>
        <v>0</v>
      </c>
      <c r="M45" s="18" t="str">
        <f t="shared" si="3"/>
        <v>Đã cover</v>
      </c>
      <c r="N45" s="21" t="str">
        <f>IFERROR(HYPERLINK("#'Test Cases'!A"&amp;(MATCH(A45,'Test Cases'!$B$5:$B$300,0)+4),"→ xem TC"),"")</f>
        <v>→ xem TC</v>
      </c>
    </row>
    <row r="46" spans="1:14" x14ac:dyDescent="0.3">
      <c r="A46" s="17" t="s">
        <v>242</v>
      </c>
      <c r="B46" s="17" t="s">
        <v>239</v>
      </c>
      <c r="C46" s="17" t="s">
        <v>243</v>
      </c>
      <c r="D46" s="17" t="s">
        <v>244</v>
      </c>
      <c r="E46" s="17" t="s">
        <v>161</v>
      </c>
      <c r="F46" s="19" t="s">
        <v>21</v>
      </c>
      <c r="G46" s="18" t="str">
        <f>IFERROR(VLOOKUP(F46,'Cấu hình'!$F$7:$G$9,2,FALSE()),"")</f>
        <v>Nguyễn Phúc Khang</v>
      </c>
      <c r="H46" s="18">
        <f>COUNTIF('Test Cases'!$B$5:$B$300,A46)</f>
        <v>1</v>
      </c>
      <c r="I46" s="18">
        <f>H46-COUNTIFS('Test Cases'!$B$5:$B$300,A46,'Test Cases'!$T$5:$T$300,"Not Run")</f>
        <v>0</v>
      </c>
      <c r="J46" s="18">
        <f>COUNTIFS('Test Cases'!$B$5:$B$300,A46,'Test Cases'!$T$5:$T$300,"Pass")</f>
        <v>0</v>
      </c>
      <c r="K46" s="18">
        <f>COUNTIFS('Test Cases'!$B$5:$B$300,A46,'Test Cases'!$T$5:$T$300,"Fail")</f>
        <v>0</v>
      </c>
      <c r="L46" s="20">
        <f t="shared" si="2"/>
        <v>0</v>
      </c>
      <c r="M46" s="18" t="str">
        <f t="shared" si="3"/>
        <v>Đã cover</v>
      </c>
      <c r="N46" s="21" t="str">
        <f>IFERROR(HYPERLINK("#'Test Cases'!A"&amp;(MATCH(A46,'Test Cases'!$B$5:$B$300,0)+4),"→ xem TC"),"")</f>
        <v>→ xem TC</v>
      </c>
    </row>
    <row r="47" spans="1:14" x14ac:dyDescent="0.3">
      <c r="A47" s="17" t="s">
        <v>245</v>
      </c>
      <c r="B47" s="17" t="s">
        <v>239</v>
      </c>
      <c r="C47" s="17" t="s">
        <v>246</v>
      </c>
      <c r="D47" s="17" t="s">
        <v>247</v>
      </c>
      <c r="E47" s="17" t="s">
        <v>161</v>
      </c>
      <c r="F47" s="19" t="s">
        <v>21</v>
      </c>
      <c r="G47" s="18" t="str">
        <f>IFERROR(VLOOKUP(F47,'Cấu hình'!$F$7:$G$9,2,FALSE()),"")</f>
        <v>Nguyễn Phúc Khang</v>
      </c>
      <c r="H47" s="18">
        <f>COUNTIF('Test Cases'!$B$5:$B$300,A47)</f>
        <v>1</v>
      </c>
      <c r="I47" s="18">
        <f>H47-COUNTIFS('Test Cases'!$B$5:$B$300,A47,'Test Cases'!$T$5:$T$300,"Not Run")</f>
        <v>0</v>
      </c>
      <c r="J47" s="18">
        <f>COUNTIFS('Test Cases'!$B$5:$B$300,A47,'Test Cases'!$T$5:$T$300,"Pass")</f>
        <v>0</v>
      </c>
      <c r="K47" s="18">
        <f>COUNTIFS('Test Cases'!$B$5:$B$300,A47,'Test Cases'!$T$5:$T$300,"Fail")</f>
        <v>0</v>
      </c>
      <c r="L47" s="20">
        <f t="shared" si="2"/>
        <v>0</v>
      </c>
      <c r="M47" s="18" t="str">
        <f t="shared" si="3"/>
        <v>Đã cover</v>
      </c>
      <c r="N47" s="21" t="str">
        <f>IFERROR(HYPERLINK("#'Test Cases'!A"&amp;(MATCH(A47,'Test Cases'!$B$5:$B$300,0)+4),"→ xem TC"),"")</f>
        <v>→ xem TC</v>
      </c>
    </row>
    <row r="48" spans="1:14" x14ac:dyDescent="0.3">
      <c r="A48" s="17" t="s">
        <v>248</v>
      </c>
      <c r="B48" s="17" t="s">
        <v>239</v>
      </c>
      <c r="C48" s="17" t="s">
        <v>249</v>
      </c>
      <c r="D48" s="17" t="s">
        <v>250</v>
      </c>
      <c r="E48" s="17" t="s">
        <v>126</v>
      </c>
      <c r="F48" s="19" t="s">
        <v>21</v>
      </c>
      <c r="G48" s="18" t="str">
        <f>IFERROR(VLOOKUP(F48,'Cấu hình'!$F$7:$G$9,2,FALSE()),"")</f>
        <v>Nguyễn Phúc Khang</v>
      </c>
      <c r="H48" s="18">
        <f>COUNTIF('Test Cases'!$B$5:$B$300,A48)</f>
        <v>1</v>
      </c>
      <c r="I48" s="18">
        <f>H48-COUNTIFS('Test Cases'!$B$5:$B$300,A48,'Test Cases'!$T$5:$T$300,"Not Run")</f>
        <v>0</v>
      </c>
      <c r="J48" s="18">
        <f>COUNTIFS('Test Cases'!$B$5:$B$300,A48,'Test Cases'!$T$5:$T$300,"Pass")</f>
        <v>0</v>
      </c>
      <c r="K48" s="18">
        <f>COUNTIFS('Test Cases'!$B$5:$B$300,A48,'Test Cases'!$T$5:$T$300,"Fail")</f>
        <v>0</v>
      </c>
      <c r="L48" s="20">
        <f t="shared" si="2"/>
        <v>0</v>
      </c>
      <c r="M48" s="18" t="str">
        <f t="shared" si="3"/>
        <v>Đã cover</v>
      </c>
      <c r="N48" s="21" t="str">
        <f>IFERROR(HYPERLINK("#'Test Cases'!A"&amp;(MATCH(A48,'Test Cases'!$B$5:$B$300,0)+4),"→ xem TC"),"")</f>
        <v>→ xem TC</v>
      </c>
    </row>
    <row r="49" spans="1:14" x14ac:dyDescent="0.3">
      <c r="A49" s="17" t="s">
        <v>251</v>
      </c>
      <c r="B49" s="17" t="s">
        <v>252</v>
      </c>
      <c r="C49" s="17" t="s">
        <v>253</v>
      </c>
      <c r="D49" s="17" t="s">
        <v>254</v>
      </c>
      <c r="E49" s="17" t="s">
        <v>255</v>
      </c>
      <c r="F49" s="19" t="s">
        <v>21</v>
      </c>
      <c r="G49" s="18" t="str">
        <f>IFERROR(VLOOKUP(F49,'Cấu hình'!$F$7:$G$9,2,FALSE()),"")</f>
        <v>Nguyễn Phúc Khang</v>
      </c>
      <c r="H49" s="18">
        <f>COUNTIF('Test Cases'!$B$5:$B$300,A49)</f>
        <v>2</v>
      </c>
      <c r="I49" s="18">
        <f>H49-COUNTIFS('Test Cases'!$B$5:$B$300,A49,'Test Cases'!$T$5:$T$300,"Not Run")</f>
        <v>0</v>
      </c>
      <c r="J49" s="18">
        <f>COUNTIFS('Test Cases'!$B$5:$B$300,A49,'Test Cases'!$T$5:$T$300,"Pass")</f>
        <v>0</v>
      </c>
      <c r="K49" s="18">
        <f>COUNTIFS('Test Cases'!$B$5:$B$300,A49,'Test Cases'!$T$5:$T$300,"Fail")</f>
        <v>0</v>
      </c>
      <c r="L49" s="20">
        <f t="shared" si="2"/>
        <v>0</v>
      </c>
      <c r="M49" s="18" t="str">
        <f t="shared" si="3"/>
        <v>Đã cover</v>
      </c>
      <c r="N49" s="21" t="str">
        <f>IFERROR(HYPERLINK("#'Test Cases'!A"&amp;(MATCH(A49,'Test Cases'!$B$5:$B$300,0)+4),"→ xem TC"),"")</f>
        <v>→ xem TC</v>
      </c>
    </row>
    <row r="50" spans="1:14" x14ac:dyDescent="0.3">
      <c r="A50" s="17" t="s">
        <v>256</v>
      </c>
      <c r="B50" s="17" t="s">
        <v>252</v>
      </c>
      <c r="C50" s="17" t="s">
        <v>257</v>
      </c>
      <c r="D50" s="17" t="s">
        <v>258</v>
      </c>
      <c r="E50" s="17" t="s">
        <v>259</v>
      </c>
      <c r="F50" s="19" t="s">
        <v>21</v>
      </c>
      <c r="G50" s="18" t="str">
        <f>IFERROR(VLOOKUP(F50,'Cấu hình'!$F$7:$G$9,2,FALSE()),"")</f>
        <v>Nguyễn Phúc Khang</v>
      </c>
      <c r="H50" s="18">
        <f>COUNTIF('Test Cases'!$B$5:$B$300,A50)</f>
        <v>3</v>
      </c>
      <c r="I50" s="18">
        <f>H50-COUNTIFS('Test Cases'!$B$5:$B$300,A50,'Test Cases'!$T$5:$T$300,"Not Run")</f>
        <v>0</v>
      </c>
      <c r="J50" s="18">
        <f>COUNTIFS('Test Cases'!$B$5:$B$300,A50,'Test Cases'!$T$5:$T$300,"Pass")</f>
        <v>0</v>
      </c>
      <c r="K50" s="18">
        <f>COUNTIFS('Test Cases'!$B$5:$B$300,A50,'Test Cases'!$T$5:$T$300,"Fail")</f>
        <v>0</v>
      </c>
      <c r="L50" s="20">
        <f t="shared" si="2"/>
        <v>0</v>
      </c>
      <c r="M50" s="18" t="str">
        <f t="shared" si="3"/>
        <v>Đã cover</v>
      </c>
      <c r="N50" s="21" t="str">
        <f>IFERROR(HYPERLINK("#'Test Cases'!A"&amp;(MATCH(A50,'Test Cases'!$B$5:$B$300,0)+4),"→ xem TC"),"")</f>
        <v>→ xem TC</v>
      </c>
    </row>
    <row r="51" spans="1:14" x14ac:dyDescent="0.3">
      <c r="A51" s="17" t="s">
        <v>260</v>
      </c>
      <c r="B51" s="17" t="s">
        <v>252</v>
      </c>
      <c r="C51" s="17" t="s">
        <v>261</v>
      </c>
      <c r="D51" s="17" t="s">
        <v>258</v>
      </c>
      <c r="E51" s="17" t="s">
        <v>262</v>
      </c>
      <c r="F51" s="19" t="s">
        <v>21</v>
      </c>
      <c r="G51" s="18" t="str">
        <f>IFERROR(VLOOKUP(F51,'Cấu hình'!$F$7:$G$9,2,FALSE()),"")</f>
        <v>Nguyễn Phúc Khang</v>
      </c>
      <c r="H51" s="18">
        <f>COUNTIF('Test Cases'!$B$5:$B$300,A51)</f>
        <v>3</v>
      </c>
      <c r="I51" s="18">
        <f>H51-COUNTIFS('Test Cases'!$B$5:$B$300,A51,'Test Cases'!$T$5:$T$300,"Not Run")</f>
        <v>0</v>
      </c>
      <c r="J51" s="18">
        <f>COUNTIFS('Test Cases'!$B$5:$B$300,A51,'Test Cases'!$T$5:$T$300,"Pass")</f>
        <v>0</v>
      </c>
      <c r="K51" s="18">
        <f>COUNTIFS('Test Cases'!$B$5:$B$300,A51,'Test Cases'!$T$5:$T$300,"Fail")</f>
        <v>0</v>
      </c>
      <c r="L51" s="20">
        <f t="shared" si="2"/>
        <v>0</v>
      </c>
      <c r="M51" s="18" t="str">
        <f t="shared" si="3"/>
        <v>Đã cover</v>
      </c>
      <c r="N51" s="21" t="str">
        <f>IFERROR(HYPERLINK("#'Test Cases'!A"&amp;(MATCH(A51,'Test Cases'!$B$5:$B$300,0)+4),"→ xem TC"),"")</f>
        <v>→ xem TC</v>
      </c>
    </row>
    <row r="52" spans="1:14" x14ac:dyDescent="0.3">
      <c r="A52" s="17" t="s">
        <v>263</v>
      </c>
      <c r="B52" s="17" t="s">
        <v>252</v>
      </c>
      <c r="C52" s="17" t="s">
        <v>264</v>
      </c>
      <c r="D52" s="17" t="s">
        <v>254</v>
      </c>
      <c r="E52" s="17" t="s">
        <v>265</v>
      </c>
      <c r="F52" s="19" t="s">
        <v>21</v>
      </c>
      <c r="G52" s="18" t="str">
        <f>IFERROR(VLOOKUP(F52,'Cấu hình'!$F$7:$G$9,2,FALSE()),"")</f>
        <v>Nguyễn Phúc Khang</v>
      </c>
      <c r="H52" s="18">
        <f>COUNTIF('Test Cases'!$B$5:$B$300,A52)</f>
        <v>2</v>
      </c>
      <c r="I52" s="18">
        <f>H52-COUNTIFS('Test Cases'!$B$5:$B$300,A52,'Test Cases'!$T$5:$T$300,"Not Run")</f>
        <v>0</v>
      </c>
      <c r="J52" s="18">
        <f>COUNTIFS('Test Cases'!$B$5:$B$300,A52,'Test Cases'!$T$5:$T$300,"Pass")</f>
        <v>0</v>
      </c>
      <c r="K52" s="18">
        <f>COUNTIFS('Test Cases'!$B$5:$B$300,A52,'Test Cases'!$T$5:$T$300,"Fail")</f>
        <v>0</v>
      </c>
      <c r="L52" s="20">
        <f t="shared" si="2"/>
        <v>0</v>
      </c>
      <c r="M52" s="18" t="str">
        <f t="shared" si="3"/>
        <v>Đã cover</v>
      </c>
      <c r="N52" s="21" t="str">
        <f>IFERROR(HYPERLINK("#'Test Cases'!A"&amp;(MATCH(A52,'Test Cases'!$B$5:$B$300,0)+4),"→ xem TC"),"")</f>
        <v>→ xem TC</v>
      </c>
    </row>
    <row r="53" spans="1:14" x14ac:dyDescent="0.3">
      <c r="A53" s="17" t="s">
        <v>266</v>
      </c>
      <c r="B53" s="17" t="s">
        <v>252</v>
      </c>
      <c r="C53" s="17" t="s">
        <v>267</v>
      </c>
      <c r="D53" s="17" t="s">
        <v>268</v>
      </c>
      <c r="E53" s="17" t="s">
        <v>269</v>
      </c>
      <c r="F53" s="19" t="s">
        <v>16</v>
      </c>
      <c r="G53" s="18" t="str">
        <f>IFERROR(VLOOKUP(F53,'Cấu hình'!$F$7:$G$9,2,FALSE()),"")</f>
        <v>Lâm Hoài An</v>
      </c>
      <c r="H53" s="18">
        <f>COUNTIF('Test Cases'!$B$5:$B$300,A53)</f>
        <v>1</v>
      </c>
      <c r="I53" s="18">
        <f>H53-COUNTIFS('Test Cases'!$B$5:$B$300,A53,'Test Cases'!$T$5:$T$300,"Not Run")</f>
        <v>0</v>
      </c>
      <c r="J53" s="18">
        <f>COUNTIFS('Test Cases'!$B$5:$B$300,A53,'Test Cases'!$T$5:$T$300,"Pass")</f>
        <v>0</v>
      </c>
      <c r="K53" s="18">
        <f>COUNTIFS('Test Cases'!$B$5:$B$300,A53,'Test Cases'!$T$5:$T$300,"Fail")</f>
        <v>0</v>
      </c>
      <c r="L53" s="20">
        <f t="shared" si="2"/>
        <v>0</v>
      </c>
      <c r="M53" s="18" t="str">
        <f t="shared" si="3"/>
        <v>Đã cover</v>
      </c>
      <c r="N53" s="21" t="str">
        <f>IFERROR(HYPERLINK("#'Test Cases'!A"&amp;(MATCH(A53,'Test Cases'!$B$5:$B$300,0)+4),"→ xem TC"),"")</f>
        <v>→ xem TC</v>
      </c>
    </row>
    <row r="54" spans="1:14" x14ac:dyDescent="0.3">
      <c r="A54" s="17" t="s">
        <v>270</v>
      </c>
      <c r="B54" s="17" t="s">
        <v>252</v>
      </c>
      <c r="C54" s="17" t="s">
        <v>271</v>
      </c>
      <c r="D54" s="17" t="s">
        <v>258</v>
      </c>
      <c r="E54" s="17" t="s">
        <v>272</v>
      </c>
      <c r="F54" s="19" t="s">
        <v>26</v>
      </c>
      <c r="G54" s="18" t="str">
        <f>IFERROR(VLOOKUP(F54,'Cấu hình'!$F$7:$G$9,2,FALSE()),"")</f>
        <v>Châu Minh Tuệ</v>
      </c>
      <c r="H54" s="18">
        <f>COUNTIF('Test Cases'!$B$5:$B$300,A54)</f>
        <v>1</v>
      </c>
      <c r="I54" s="18">
        <f>H54-COUNTIFS('Test Cases'!$B$5:$B$300,A54,'Test Cases'!$T$5:$T$300,"Not Run")</f>
        <v>0</v>
      </c>
      <c r="J54" s="18">
        <f>COUNTIFS('Test Cases'!$B$5:$B$300,A54,'Test Cases'!$T$5:$T$300,"Pass")</f>
        <v>0</v>
      </c>
      <c r="K54" s="18">
        <f>COUNTIFS('Test Cases'!$B$5:$B$300,A54,'Test Cases'!$T$5:$T$300,"Fail")</f>
        <v>0</v>
      </c>
      <c r="L54" s="20">
        <f t="shared" si="2"/>
        <v>0</v>
      </c>
      <c r="M54" s="18" t="str">
        <f t="shared" si="3"/>
        <v>Đã cover</v>
      </c>
      <c r="N54" s="21" t="str">
        <f>IFERROR(HYPERLINK("#'Test Cases'!A"&amp;(MATCH(A54,'Test Cases'!$B$5:$B$300,0)+4),"→ xem TC"),"")</f>
        <v>→ xem TC</v>
      </c>
    </row>
    <row r="55" spans="1:14" x14ac:dyDescent="0.3">
      <c r="A55" s="17" t="s">
        <v>273</v>
      </c>
      <c r="B55" s="17" t="s">
        <v>252</v>
      </c>
      <c r="C55" s="17" t="s">
        <v>274</v>
      </c>
      <c r="D55" s="17" t="s">
        <v>258</v>
      </c>
      <c r="E55" s="17" t="s">
        <v>275</v>
      </c>
      <c r="F55" s="19" t="s">
        <v>26</v>
      </c>
      <c r="G55" s="18" t="str">
        <f>IFERROR(VLOOKUP(F55,'Cấu hình'!$F$7:$G$9,2,FALSE()),"")</f>
        <v>Châu Minh Tuệ</v>
      </c>
      <c r="H55" s="18">
        <f>COUNTIF('Test Cases'!$B$5:$B$300,A55)</f>
        <v>1</v>
      </c>
      <c r="I55" s="18">
        <f>H55-COUNTIFS('Test Cases'!$B$5:$B$300,A55,'Test Cases'!$T$5:$T$300,"Not Run")</f>
        <v>0</v>
      </c>
      <c r="J55" s="18">
        <f>COUNTIFS('Test Cases'!$B$5:$B$300,A55,'Test Cases'!$T$5:$T$300,"Pass")</f>
        <v>0</v>
      </c>
      <c r="K55" s="18">
        <f>COUNTIFS('Test Cases'!$B$5:$B$300,A55,'Test Cases'!$T$5:$T$300,"Fail")</f>
        <v>0</v>
      </c>
      <c r="L55" s="20">
        <f t="shared" si="2"/>
        <v>0</v>
      </c>
      <c r="M55" s="18" t="str">
        <f t="shared" si="3"/>
        <v>Đã cover</v>
      </c>
      <c r="N55" s="21" t="str">
        <f>IFERROR(HYPERLINK("#'Test Cases'!A"&amp;(MATCH(A55,'Test Cases'!$B$5:$B$300,0)+4),"→ xem TC"),"")</f>
        <v>→ xem TC</v>
      </c>
    </row>
    <row r="56" spans="1:14" x14ac:dyDescent="0.3">
      <c r="A56" s="17" t="s">
        <v>276</v>
      </c>
      <c r="B56" s="17" t="s">
        <v>252</v>
      </c>
      <c r="C56" s="17" t="s">
        <v>277</v>
      </c>
      <c r="D56" s="17" t="s">
        <v>278</v>
      </c>
      <c r="E56" s="17" t="s">
        <v>279</v>
      </c>
      <c r="F56" s="19" t="s">
        <v>21</v>
      </c>
      <c r="G56" s="18" t="str">
        <f>IFERROR(VLOOKUP(F56,'Cấu hình'!$F$7:$G$9,2,FALSE()),"")</f>
        <v>Nguyễn Phúc Khang</v>
      </c>
      <c r="H56" s="18">
        <f>COUNTIF('Test Cases'!$B$5:$B$300,A56)</f>
        <v>1</v>
      </c>
      <c r="I56" s="18">
        <f>H56-COUNTIFS('Test Cases'!$B$5:$B$300,A56,'Test Cases'!$T$5:$T$300,"Not Run")</f>
        <v>0</v>
      </c>
      <c r="J56" s="18">
        <f>COUNTIFS('Test Cases'!$B$5:$B$300,A56,'Test Cases'!$T$5:$T$300,"Pass")</f>
        <v>0</v>
      </c>
      <c r="K56" s="18">
        <f>COUNTIFS('Test Cases'!$B$5:$B$300,A56,'Test Cases'!$T$5:$T$300,"Fail")</f>
        <v>0</v>
      </c>
      <c r="L56" s="20">
        <f t="shared" si="2"/>
        <v>0</v>
      </c>
      <c r="M56" s="18" t="str">
        <f t="shared" si="3"/>
        <v>Đã cover</v>
      </c>
      <c r="N56" s="21" t="str">
        <f>IFERROR(HYPERLINK("#'Test Cases'!A"&amp;(MATCH(A56,'Test Cases'!$B$5:$B$300,0)+4),"→ xem TC"),"")</f>
        <v>→ xem TC</v>
      </c>
    </row>
    <row r="57" spans="1:14" x14ac:dyDescent="0.3">
      <c r="C57" s="22" t="s">
        <v>280</v>
      </c>
      <c r="H57" s="22">
        <f>SUM(H5:H56)</f>
        <v>100</v>
      </c>
      <c r="I57" s="22">
        <f>SUM(I5:I56)</f>
        <v>0</v>
      </c>
      <c r="J57" s="22">
        <f>SUM(J5:J56)</f>
        <v>0</v>
      </c>
      <c r="K57" s="22">
        <f>SUM(K5:K56)</f>
        <v>0</v>
      </c>
      <c r="L57" s="23">
        <f t="shared" si="2"/>
        <v>0</v>
      </c>
      <c r="M57" s="22" t="str">
        <f>IF(COUNTIF(M5:M56,"CHƯA CÓ TC")=0,"Cover đủ "&amp;COUNTA(A5:A56)&amp;" CN","Còn sót "&amp;COUNTIF(M5:M56,"CHƯA CÓ TC")&amp;" CN")</f>
        <v>Cover đủ 52 CN</v>
      </c>
    </row>
  </sheetData>
  <autoFilter ref="A4:N56" xr:uid="{00000000-0009-0000-0000-000005000000}"/>
  <conditionalFormatting sqref="M5:M56">
    <cfRule type="cellIs" dxfId="5" priority="2" operator="equal">
      <formula>"CHƯA CÓ TC"</formula>
    </cfRule>
  </conditionalFormatting>
  <dataValidations count="1">
    <dataValidation type="list" allowBlank="1" showErrorMessage="1" sqref="F5:F56" xr:uid="{00000000-0002-0000-0500-000000000000}">
      <formula1>"Nhóm 1,Nhóm 2,Phi chức năng"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J1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8" customWidth="1"/>
    <col min="2" max="2" width="40" customWidth="1"/>
    <col min="3" max="3" width="60" customWidth="1"/>
    <col min="4" max="5" width="18" customWidth="1"/>
    <col min="6" max="7" width="8" customWidth="1"/>
    <col min="8" max="8" width="9" customWidth="1"/>
    <col min="9" max="10" width="8" customWidth="1"/>
  </cols>
  <sheetData>
    <row r="1" spans="1:10" ht="17.399999999999999" x14ac:dyDescent="0.3">
      <c r="A1" s="3" t="s">
        <v>281</v>
      </c>
    </row>
    <row r="2" spans="1:10" x14ac:dyDescent="0.3">
      <c r="A2" s="4" t="s">
        <v>282</v>
      </c>
    </row>
    <row r="4" spans="1:10" ht="33.75" customHeight="1" x14ac:dyDescent="0.3">
      <c r="A4" s="16" t="s">
        <v>283</v>
      </c>
      <c r="B4" s="16" t="s">
        <v>284</v>
      </c>
      <c r="C4" s="16" t="s">
        <v>285</v>
      </c>
      <c r="D4" s="16" t="s">
        <v>286</v>
      </c>
      <c r="E4" s="16" t="s">
        <v>287</v>
      </c>
      <c r="F4" s="16" t="s">
        <v>288</v>
      </c>
      <c r="G4" s="16" t="s">
        <v>89</v>
      </c>
      <c r="H4" s="16" t="s">
        <v>39</v>
      </c>
      <c r="I4" s="16" t="s">
        <v>40</v>
      </c>
      <c r="J4" s="16" t="s">
        <v>41</v>
      </c>
    </row>
    <row r="5" spans="1:10" ht="22.8" x14ac:dyDescent="0.3">
      <c r="A5" s="17" t="s">
        <v>289</v>
      </c>
      <c r="B5" s="17" t="s">
        <v>290</v>
      </c>
      <c r="C5" s="17" t="s">
        <v>291</v>
      </c>
      <c r="D5" s="17" t="s">
        <v>292</v>
      </c>
      <c r="E5" s="17" t="s">
        <v>293</v>
      </c>
      <c r="F5" s="17" t="s">
        <v>294</v>
      </c>
      <c r="G5" s="18">
        <f>COUNTIF('Test Cases'!$E$5:$E$300,A5)</f>
        <v>12</v>
      </c>
      <c r="H5" s="18">
        <f>G5-COUNTIFS('Test Cases'!$E$5:$E$300,A5,'Test Cases'!$T$5:$T$300,"Not Run")</f>
        <v>0</v>
      </c>
      <c r="I5" s="18">
        <f>COUNTIFS('Test Cases'!$E$5:$E$300,A5,'Test Cases'!$T$5:$T$300,"Pass")</f>
        <v>0</v>
      </c>
      <c r="J5" s="18">
        <f>COUNTIFS('Test Cases'!$E$5:$E$300,A5,'Test Cases'!$T$5:$T$300,"Fail")</f>
        <v>0</v>
      </c>
    </row>
    <row r="6" spans="1:10" ht="22.8" x14ac:dyDescent="0.3">
      <c r="A6" s="17" t="s">
        <v>295</v>
      </c>
      <c r="B6" s="17" t="s">
        <v>296</v>
      </c>
      <c r="C6" s="17" t="s">
        <v>297</v>
      </c>
      <c r="D6" s="17" t="s">
        <v>118</v>
      </c>
      <c r="E6" s="17" t="s">
        <v>298</v>
      </c>
      <c r="F6" s="17" t="s">
        <v>294</v>
      </c>
      <c r="G6" s="18">
        <f>COUNTIF('Test Cases'!$E$5:$E$300,A6)</f>
        <v>4</v>
      </c>
      <c r="H6" s="18">
        <f>G6-COUNTIFS('Test Cases'!$E$5:$E$300,A6,'Test Cases'!$T$5:$T$300,"Not Run")</f>
        <v>0</v>
      </c>
      <c r="I6" s="18">
        <f>COUNTIFS('Test Cases'!$E$5:$E$300,A6,'Test Cases'!$T$5:$T$300,"Pass")</f>
        <v>0</v>
      </c>
      <c r="J6" s="18">
        <f>COUNTIFS('Test Cases'!$E$5:$E$300,A6,'Test Cases'!$T$5:$T$300,"Fail")</f>
        <v>0</v>
      </c>
    </row>
    <row r="7" spans="1:10" x14ac:dyDescent="0.3">
      <c r="A7" s="17" t="s">
        <v>299</v>
      </c>
      <c r="B7" s="17" t="s">
        <v>300</v>
      </c>
      <c r="C7" s="17" t="s">
        <v>301</v>
      </c>
      <c r="D7" s="17" t="s">
        <v>302</v>
      </c>
      <c r="E7" s="17" t="s">
        <v>293</v>
      </c>
      <c r="F7" s="17" t="s">
        <v>294</v>
      </c>
      <c r="G7" s="18">
        <f>COUNTIF('Test Cases'!$E$5:$E$300,A7)</f>
        <v>12</v>
      </c>
      <c r="H7" s="18">
        <f>G7-COUNTIFS('Test Cases'!$E$5:$E$300,A7,'Test Cases'!$T$5:$T$300,"Not Run")</f>
        <v>0</v>
      </c>
      <c r="I7" s="18">
        <f>COUNTIFS('Test Cases'!$E$5:$E$300,A7,'Test Cases'!$T$5:$T$300,"Pass")</f>
        <v>0</v>
      </c>
      <c r="J7" s="18">
        <f>COUNTIFS('Test Cases'!$E$5:$E$300,A7,'Test Cases'!$T$5:$T$300,"Fail")</f>
        <v>0</v>
      </c>
    </row>
    <row r="8" spans="1:10" x14ac:dyDescent="0.3">
      <c r="A8" s="17" t="s">
        <v>303</v>
      </c>
      <c r="B8" s="17" t="s">
        <v>304</v>
      </c>
      <c r="C8" s="17" t="s">
        <v>305</v>
      </c>
      <c r="D8" s="17" t="s">
        <v>306</v>
      </c>
      <c r="E8" s="17" t="s">
        <v>307</v>
      </c>
      <c r="F8" s="17" t="s">
        <v>294</v>
      </c>
      <c r="G8" s="18">
        <f>COUNTIF('Test Cases'!$E$5:$E$300,A8)</f>
        <v>7</v>
      </c>
      <c r="H8" s="18">
        <f>G8-COUNTIFS('Test Cases'!$E$5:$E$300,A8,'Test Cases'!$T$5:$T$300,"Not Run")</f>
        <v>0</v>
      </c>
      <c r="I8" s="18">
        <f>COUNTIFS('Test Cases'!$E$5:$E$300,A8,'Test Cases'!$T$5:$T$300,"Pass")</f>
        <v>0</v>
      </c>
      <c r="J8" s="18">
        <f>COUNTIFS('Test Cases'!$E$5:$E$300,A8,'Test Cases'!$T$5:$T$300,"Fail")</f>
        <v>0</v>
      </c>
    </row>
    <row r="9" spans="1:10" ht="22.8" x14ac:dyDescent="0.3">
      <c r="A9" s="17" t="s">
        <v>308</v>
      </c>
      <c r="B9" s="17" t="s">
        <v>309</v>
      </c>
      <c r="C9" s="17" t="s">
        <v>310</v>
      </c>
      <c r="D9" s="17" t="s">
        <v>311</v>
      </c>
      <c r="E9" s="17" t="s">
        <v>312</v>
      </c>
      <c r="F9" s="17" t="s">
        <v>294</v>
      </c>
      <c r="G9" s="18">
        <f>COUNTIF('Test Cases'!$E$5:$E$300,A9)</f>
        <v>13</v>
      </c>
      <c r="H9" s="18">
        <f>G9-COUNTIFS('Test Cases'!$E$5:$E$300,A9,'Test Cases'!$T$5:$T$300,"Not Run")</f>
        <v>0</v>
      </c>
      <c r="I9" s="18">
        <f>COUNTIFS('Test Cases'!$E$5:$E$300,A9,'Test Cases'!$T$5:$T$300,"Pass")</f>
        <v>0</v>
      </c>
      <c r="J9" s="18">
        <f>COUNTIFS('Test Cases'!$E$5:$E$300,A9,'Test Cases'!$T$5:$T$300,"Fail")</f>
        <v>0</v>
      </c>
    </row>
    <row r="10" spans="1:10" ht="22.8" x14ac:dyDescent="0.3">
      <c r="A10" s="17" t="s">
        <v>313</v>
      </c>
      <c r="B10" s="17" t="s">
        <v>314</v>
      </c>
      <c r="C10" s="17" t="s">
        <v>315</v>
      </c>
      <c r="D10" s="17" t="s">
        <v>316</v>
      </c>
      <c r="E10" s="17" t="s">
        <v>307</v>
      </c>
      <c r="F10" s="17" t="s">
        <v>294</v>
      </c>
      <c r="G10" s="18">
        <f>COUNTIF('Test Cases'!$E$5:$E$300,A10)</f>
        <v>10</v>
      </c>
      <c r="H10" s="18">
        <f>G10-COUNTIFS('Test Cases'!$E$5:$E$300,A10,'Test Cases'!$T$5:$T$300,"Not Run")</f>
        <v>0</v>
      </c>
      <c r="I10" s="18">
        <f>COUNTIFS('Test Cases'!$E$5:$E$300,A10,'Test Cases'!$T$5:$T$300,"Pass")</f>
        <v>0</v>
      </c>
      <c r="J10" s="18">
        <f>COUNTIFS('Test Cases'!$E$5:$E$300,A10,'Test Cases'!$T$5:$T$300,"Fail")</f>
        <v>0</v>
      </c>
    </row>
    <row r="11" spans="1:10" ht="22.8" x14ac:dyDescent="0.3">
      <c r="A11" s="17" t="s">
        <v>317</v>
      </c>
      <c r="B11" s="17" t="s">
        <v>318</v>
      </c>
      <c r="C11" s="17" t="s">
        <v>319</v>
      </c>
      <c r="D11" s="17" t="s">
        <v>320</v>
      </c>
      <c r="E11" s="17" t="s">
        <v>307</v>
      </c>
      <c r="F11" s="17" t="s">
        <v>294</v>
      </c>
      <c r="G11" s="18">
        <f>COUNTIF('Test Cases'!$E$5:$E$300,A11)</f>
        <v>13</v>
      </c>
      <c r="H11" s="18">
        <f>G11-COUNTIFS('Test Cases'!$E$5:$E$300,A11,'Test Cases'!$T$5:$T$300,"Not Run")</f>
        <v>0</v>
      </c>
      <c r="I11" s="18">
        <f>COUNTIFS('Test Cases'!$E$5:$E$300,A11,'Test Cases'!$T$5:$T$300,"Pass")</f>
        <v>0</v>
      </c>
      <c r="J11" s="18">
        <f>COUNTIFS('Test Cases'!$E$5:$E$300,A11,'Test Cases'!$T$5:$T$300,"Fail")</f>
        <v>0</v>
      </c>
    </row>
    <row r="12" spans="1:10" x14ac:dyDescent="0.3">
      <c r="A12" s="17" t="s">
        <v>321</v>
      </c>
      <c r="B12" s="17" t="s">
        <v>322</v>
      </c>
      <c r="C12" s="17" t="s">
        <v>323</v>
      </c>
      <c r="D12" s="17" t="s">
        <v>324</v>
      </c>
      <c r="E12" s="17" t="s">
        <v>312</v>
      </c>
      <c r="F12" s="17" t="s">
        <v>294</v>
      </c>
      <c r="G12" s="18">
        <f>COUNTIF('Test Cases'!$E$5:$E$300,A12)</f>
        <v>9</v>
      </c>
      <c r="H12" s="18">
        <f>G12-COUNTIFS('Test Cases'!$E$5:$E$300,A12,'Test Cases'!$T$5:$T$300,"Not Run")</f>
        <v>0</v>
      </c>
      <c r="I12" s="18">
        <f>COUNTIFS('Test Cases'!$E$5:$E$300,A12,'Test Cases'!$T$5:$T$300,"Pass")</f>
        <v>0</v>
      </c>
      <c r="J12" s="18">
        <f>COUNTIFS('Test Cases'!$E$5:$E$300,A12,'Test Cases'!$T$5:$T$300,"Fail")</f>
        <v>0</v>
      </c>
    </row>
    <row r="13" spans="1:10" x14ac:dyDescent="0.3">
      <c r="A13" s="17" t="s">
        <v>325</v>
      </c>
      <c r="B13" s="17" t="s">
        <v>326</v>
      </c>
      <c r="C13" s="17" t="s">
        <v>327</v>
      </c>
      <c r="D13" s="17" t="s">
        <v>328</v>
      </c>
      <c r="E13" s="17" t="s">
        <v>307</v>
      </c>
      <c r="F13" s="17" t="s">
        <v>329</v>
      </c>
      <c r="G13" s="18">
        <f>COUNTIF('Test Cases'!$E$5:$E$300,A13)</f>
        <v>2</v>
      </c>
      <c r="H13" s="18">
        <f>G13-COUNTIFS('Test Cases'!$E$5:$E$300,A13,'Test Cases'!$T$5:$T$300,"Not Run")</f>
        <v>0</v>
      </c>
      <c r="I13" s="18">
        <f>COUNTIFS('Test Cases'!$E$5:$E$300,A13,'Test Cases'!$T$5:$T$300,"Pass")</f>
        <v>0</v>
      </c>
      <c r="J13" s="18">
        <f>COUNTIFS('Test Cases'!$E$5:$E$300,A13,'Test Cases'!$T$5:$T$300,"Fail")</f>
        <v>0</v>
      </c>
    </row>
    <row r="14" spans="1:10" x14ac:dyDescent="0.3">
      <c r="A14" s="17" t="s">
        <v>330</v>
      </c>
      <c r="B14" s="17" t="s">
        <v>331</v>
      </c>
      <c r="C14" s="17" t="s">
        <v>332</v>
      </c>
      <c r="D14" s="17" t="s">
        <v>333</v>
      </c>
      <c r="E14" s="17" t="s">
        <v>334</v>
      </c>
      <c r="F14" s="17" t="s">
        <v>329</v>
      </c>
      <c r="G14" s="18">
        <f>COUNTIF('Test Cases'!$E$5:$E$300,A14)</f>
        <v>4</v>
      </c>
      <c r="H14" s="18">
        <f>G14-COUNTIFS('Test Cases'!$E$5:$E$300,A14,'Test Cases'!$T$5:$T$300,"Not Run")</f>
        <v>0</v>
      </c>
      <c r="I14" s="18">
        <f>COUNTIFS('Test Cases'!$E$5:$E$300,A14,'Test Cases'!$T$5:$T$300,"Pass")</f>
        <v>0</v>
      </c>
      <c r="J14" s="18">
        <f>COUNTIFS('Test Cases'!$E$5:$E$300,A14,'Test Cases'!$T$5:$T$300,"Fail")</f>
        <v>0</v>
      </c>
    </row>
    <row r="15" spans="1:10" x14ac:dyDescent="0.3">
      <c r="A15" s="17" t="s">
        <v>335</v>
      </c>
      <c r="B15" s="17" t="s">
        <v>336</v>
      </c>
      <c r="C15" s="17" t="s">
        <v>337</v>
      </c>
      <c r="D15" s="17" t="s">
        <v>338</v>
      </c>
      <c r="E15" s="17" t="s">
        <v>339</v>
      </c>
      <c r="F15" s="17" t="s">
        <v>294</v>
      </c>
      <c r="G15" s="18">
        <f>COUNTIF('Test Cases'!$E$5:$E$300,A15)</f>
        <v>12</v>
      </c>
      <c r="H15" s="18">
        <f>G15-COUNTIFS('Test Cases'!$E$5:$E$300,A15,'Test Cases'!$T$5:$T$300,"Not Run")</f>
        <v>0</v>
      </c>
      <c r="I15" s="18">
        <f>COUNTIFS('Test Cases'!$E$5:$E$300,A15,'Test Cases'!$T$5:$T$300,"Pass")</f>
        <v>0</v>
      </c>
      <c r="J15" s="18">
        <f>COUNTIFS('Test Cases'!$E$5:$E$300,A15,'Test Cases'!$T$5:$T$300,"Fail")</f>
        <v>0</v>
      </c>
    </row>
    <row r="16" spans="1:10" ht="22.8" x14ac:dyDescent="0.3">
      <c r="A16" s="17" t="s">
        <v>340</v>
      </c>
      <c r="B16" s="17" t="s">
        <v>341</v>
      </c>
      <c r="C16" s="17" t="s">
        <v>342</v>
      </c>
      <c r="D16" s="17" t="s">
        <v>343</v>
      </c>
      <c r="E16" s="17" t="s">
        <v>339</v>
      </c>
      <c r="F16" s="17" t="s">
        <v>329</v>
      </c>
      <c r="G16" s="18">
        <f>COUNTIF('Test Cases'!$E$5:$E$300,A16)</f>
        <v>2</v>
      </c>
      <c r="H16" s="18">
        <f>G16-COUNTIFS('Test Cases'!$E$5:$E$300,A16,'Test Cases'!$T$5:$T$300,"Not Run")</f>
        <v>0</v>
      </c>
      <c r="I16" s="18">
        <f>COUNTIFS('Test Cases'!$E$5:$E$300,A16,'Test Cases'!$T$5:$T$300,"Pass")</f>
        <v>0</v>
      </c>
      <c r="J16" s="18">
        <f>COUNTIFS('Test Cases'!$E$5:$E$300,A16,'Test Cases'!$T$5:$T$300,"Fail")</f>
        <v>0</v>
      </c>
    </row>
    <row r="17" spans="2:10" x14ac:dyDescent="0.3">
      <c r="B17" s="22" t="s">
        <v>280</v>
      </c>
      <c r="G17" s="22">
        <f>SUM(G5:G16)</f>
        <v>100</v>
      </c>
      <c r="H17" s="22">
        <f>SUM(H5:H16)</f>
        <v>0</v>
      </c>
      <c r="I17" s="22">
        <f>SUM(I5:I16)</f>
        <v>0</v>
      </c>
      <c r="J17" s="22">
        <f>SUM(J5:J16)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W104"/>
  <sheetViews>
    <sheetView zoomScaleNormal="10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A5" sqref="A5"/>
    </sheetView>
  </sheetViews>
  <sheetFormatPr defaultColWidth="8.6640625" defaultRowHeight="14.4" x14ac:dyDescent="0.3"/>
  <cols>
    <col min="1" max="1" width="8" customWidth="1"/>
    <col min="2" max="2" width="7" customWidth="1"/>
    <col min="3" max="3" width="20" customWidth="1"/>
    <col min="4" max="4" width="22" customWidth="1"/>
    <col min="5" max="5" width="8" customWidth="1"/>
    <col min="6" max="6" width="12" customWidth="1"/>
    <col min="7" max="7" width="18" customWidth="1"/>
    <col min="8" max="8" width="34" customWidth="1"/>
    <col min="9" max="9" width="22" customWidth="1"/>
    <col min="10" max="10" width="42" customWidth="1"/>
    <col min="11" max="11" width="22" customWidth="1"/>
    <col min="12" max="12" width="40" customWidth="1"/>
    <col min="13" max="13" width="20" customWidth="1"/>
    <col min="14" max="14" width="11" customWidth="1"/>
    <col min="15" max="15" width="8" customWidth="1"/>
    <col min="16" max="16" width="9" customWidth="1"/>
    <col min="17" max="17" width="18" customWidth="1"/>
    <col min="18" max="18" width="12" customWidth="1"/>
    <col min="19" max="19" width="28" customWidth="1"/>
    <col min="20" max="20" width="12" customWidth="1"/>
    <col min="21" max="21" width="10" customWidth="1"/>
    <col min="22" max="22" width="20" customWidth="1"/>
    <col min="23" max="23" width="22" customWidth="1"/>
  </cols>
  <sheetData>
    <row r="1" spans="1:23" ht="17.399999999999999" x14ac:dyDescent="0.3">
      <c r="A1" s="3" t="s">
        <v>344</v>
      </c>
    </row>
    <row r="2" spans="1:23" x14ac:dyDescent="0.3">
      <c r="A2" s="4" t="s">
        <v>345</v>
      </c>
    </row>
    <row r="4" spans="1:23" ht="33.75" customHeight="1" x14ac:dyDescent="0.3">
      <c r="A4" s="16" t="s">
        <v>346</v>
      </c>
      <c r="B4" s="16" t="s">
        <v>83</v>
      </c>
      <c r="C4" s="16" t="s">
        <v>84</v>
      </c>
      <c r="D4" s="16" t="s">
        <v>85</v>
      </c>
      <c r="E4" s="16" t="s">
        <v>347</v>
      </c>
      <c r="F4" s="16" t="s">
        <v>348</v>
      </c>
      <c r="G4" s="16" t="s">
        <v>88</v>
      </c>
      <c r="H4" s="16" t="s">
        <v>349</v>
      </c>
      <c r="I4" s="16" t="s">
        <v>350</v>
      </c>
      <c r="J4" s="16" t="s">
        <v>351</v>
      </c>
      <c r="K4" s="16" t="s">
        <v>352</v>
      </c>
      <c r="L4" s="16" t="s">
        <v>353</v>
      </c>
      <c r="M4" s="16" t="s">
        <v>354</v>
      </c>
      <c r="N4" s="16" t="s">
        <v>355</v>
      </c>
      <c r="O4" s="16" t="s">
        <v>288</v>
      </c>
      <c r="P4" s="16" t="s">
        <v>356</v>
      </c>
      <c r="Q4" s="16" t="s">
        <v>357</v>
      </c>
      <c r="R4" s="16" t="s">
        <v>358</v>
      </c>
      <c r="S4" s="16" t="s">
        <v>359</v>
      </c>
      <c r="T4" s="16" t="s">
        <v>80</v>
      </c>
      <c r="U4" s="16" t="s">
        <v>360</v>
      </c>
      <c r="V4" s="16" t="s">
        <v>9</v>
      </c>
      <c r="W4" s="16" t="s">
        <v>361</v>
      </c>
    </row>
    <row r="5" spans="1:23" ht="34.200000000000003" x14ac:dyDescent="0.3">
      <c r="A5" s="17" t="s">
        <v>362</v>
      </c>
      <c r="B5" s="17" t="s">
        <v>93</v>
      </c>
      <c r="C5" s="17" t="s">
        <v>94</v>
      </c>
      <c r="D5" s="17" t="s">
        <v>95</v>
      </c>
      <c r="E5" s="17" t="s">
        <v>289</v>
      </c>
      <c r="F5" s="18" t="str">
        <f>IFERROR(INDEX('Checklist cover'!$F$5:$F$56,MATCH(B5,'Checklist cover'!$A$5:$A$56,0)),"")</f>
        <v>Nhóm 1</v>
      </c>
      <c r="G5" s="18" t="str">
        <f>IFERROR(VLOOKUP(F5,'Cấu hình'!$F$7:$G$9,2,FALSE()),"")</f>
        <v>Lâm Hoài An</v>
      </c>
      <c r="H5" s="17" t="s">
        <v>363</v>
      </c>
      <c r="I5" s="17" t="s">
        <v>364</v>
      </c>
      <c r="J5" s="17" t="s">
        <v>365</v>
      </c>
      <c r="K5" s="17" t="s">
        <v>366</v>
      </c>
      <c r="L5" s="17" t="s">
        <v>367</v>
      </c>
      <c r="M5" s="17" t="s">
        <v>368</v>
      </c>
      <c r="N5" s="17" t="s">
        <v>85</v>
      </c>
      <c r="O5" s="17" t="s">
        <v>294</v>
      </c>
      <c r="P5" s="17"/>
      <c r="Q5" s="18" t="str">
        <f t="shared" ref="Q5:Q36" si="0">IF(T5="Not Run","",G5)</f>
        <v/>
      </c>
      <c r="R5" s="24"/>
      <c r="S5" s="19"/>
      <c r="T5" s="19" t="s">
        <v>369</v>
      </c>
      <c r="U5" s="19"/>
      <c r="V5" s="19"/>
      <c r="W5" s="18" t="str">
        <f t="shared" ref="W5:W36" si="1">IF(AND(T5="Fail",U5=""),"⚠ Fail nhưng thiếu Bug ID",IF(AND(T5&lt;&gt;"Not Run",T5&lt;&gt;"",R5=""),"⚠ Thiếu ngày test",IF(AND(T5="Pass",S5=""),"⚠ Thiếu kết quả thực tế","")))</f>
        <v/>
      </c>
    </row>
    <row r="6" spans="1:23" ht="22.8" x14ac:dyDescent="0.3">
      <c r="A6" s="17" t="s">
        <v>370</v>
      </c>
      <c r="B6" s="17" t="s">
        <v>93</v>
      </c>
      <c r="C6" s="17" t="s">
        <v>94</v>
      </c>
      <c r="D6" s="17" t="s">
        <v>95</v>
      </c>
      <c r="E6" s="17" t="s">
        <v>289</v>
      </c>
      <c r="F6" s="18" t="str">
        <f>IFERROR(INDEX('Checklist cover'!$F$5:$F$56,MATCH(B6,'Checklist cover'!$A$5:$A$56,0)),"")</f>
        <v>Nhóm 1</v>
      </c>
      <c r="G6" s="18" t="str">
        <f>IFERROR(VLOOKUP(F6,'Cấu hình'!$F$7:$G$9,2,FALSE()),"")</f>
        <v>Lâm Hoài An</v>
      </c>
      <c r="H6" s="17" t="s">
        <v>371</v>
      </c>
      <c r="I6" s="17" t="s">
        <v>372</v>
      </c>
      <c r="J6" s="17" t="s">
        <v>373</v>
      </c>
      <c r="K6" s="17" t="s">
        <v>374</v>
      </c>
      <c r="L6" s="17" t="s">
        <v>375</v>
      </c>
      <c r="M6" s="17" t="s">
        <v>376</v>
      </c>
      <c r="N6" s="17" t="s">
        <v>85</v>
      </c>
      <c r="O6" s="17" t="s">
        <v>294</v>
      </c>
      <c r="P6" s="17"/>
      <c r="Q6" s="18" t="str">
        <f t="shared" si="0"/>
        <v/>
      </c>
      <c r="R6" s="24"/>
      <c r="S6" s="19"/>
      <c r="T6" s="19" t="s">
        <v>369</v>
      </c>
      <c r="U6" s="19"/>
      <c r="V6" s="19"/>
      <c r="W6" s="18" t="str">
        <f t="shared" si="1"/>
        <v/>
      </c>
    </row>
    <row r="7" spans="1:23" x14ac:dyDescent="0.3">
      <c r="A7" s="17" t="s">
        <v>377</v>
      </c>
      <c r="B7" s="17" t="s">
        <v>93</v>
      </c>
      <c r="C7" s="17" t="s">
        <v>94</v>
      </c>
      <c r="D7" s="17" t="s">
        <v>95</v>
      </c>
      <c r="E7" s="17" t="s">
        <v>289</v>
      </c>
      <c r="F7" s="18" t="str">
        <f>IFERROR(INDEX('Checklist cover'!$F$5:$F$56,MATCH(B7,'Checklist cover'!$A$5:$A$56,0)),"")</f>
        <v>Nhóm 1</v>
      </c>
      <c r="G7" s="18" t="str">
        <f>IFERROR(VLOOKUP(F7,'Cấu hình'!$F$7:$G$9,2,FALSE()),"")</f>
        <v>Lâm Hoài An</v>
      </c>
      <c r="H7" s="17" t="s">
        <v>378</v>
      </c>
      <c r="I7" s="17"/>
      <c r="J7" s="17" t="s">
        <v>379</v>
      </c>
      <c r="K7" s="17" t="s">
        <v>380</v>
      </c>
      <c r="L7" s="17" t="s">
        <v>381</v>
      </c>
      <c r="M7" s="17" t="s">
        <v>382</v>
      </c>
      <c r="N7" s="17" t="s">
        <v>383</v>
      </c>
      <c r="O7" s="17" t="s">
        <v>294</v>
      </c>
      <c r="P7" s="17"/>
      <c r="Q7" s="18" t="str">
        <f t="shared" si="0"/>
        <v/>
      </c>
      <c r="R7" s="24"/>
      <c r="S7" s="19"/>
      <c r="T7" s="19" t="s">
        <v>369</v>
      </c>
      <c r="U7" s="19"/>
      <c r="V7" s="19"/>
      <c r="W7" s="18" t="str">
        <f t="shared" si="1"/>
        <v/>
      </c>
    </row>
    <row r="8" spans="1:23" ht="22.8" x14ac:dyDescent="0.3">
      <c r="A8" s="17" t="s">
        <v>384</v>
      </c>
      <c r="B8" s="17" t="s">
        <v>98</v>
      </c>
      <c r="C8" s="17" t="s">
        <v>94</v>
      </c>
      <c r="D8" s="17" t="s">
        <v>99</v>
      </c>
      <c r="E8" s="17" t="s">
        <v>289</v>
      </c>
      <c r="F8" s="18" t="str">
        <f>IFERROR(INDEX('Checklist cover'!$F$5:$F$56,MATCH(B8,'Checklist cover'!$A$5:$A$56,0)),"")</f>
        <v>Nhóm 1</v>
      </c>
      <c r="G8" s="18" t="str">
        <f>IFERROR(VLOOKUP(F8,'Cấu hình'!$F$7:$G$9,2,FALSE()),"")</f>
        <v>Lâm Hoài An</v>
      </c>
      <c r="H8" s="17" t="s">
        <v>385</v>
      </c>
      <c r="I8" s="17" t="s">
        <v>386</v>
      </c>
      <c r="J8" s="17" t="s">
        <v>387</v>
      </c>
      <c r="K8" s="17" t="s">
        <v>388</v>
      </c>
      <c r="L8" s="17" t="s">
        <v>389</v>
      </c>
      <c r="M8" s="17" t="s">
        <v>368</v>
      </c>
      <c r="N8" s="17" t="s">
        <v>85</v>
      </c>
      <c r="O8" s="17" t="s">
        <v>294</v>
      </c>
      <c r="P8" s="17" t="s">
        <v>390</v>
      </c>
      <c r="Q8" s="18" t="str">
        <f t="shared" si="0"/>
        <v/>
      </c>
      <c r="R8" s="24"/>
      <c r="S8" s="19"/>
      <c r="T8" s="19" t="s">
        <v>369</v>
      </c>
      <c r="U8" s="19"/>
      <c r="V8" s="19"/>
      <c r="W8" s="18" t="str">
        <f t="shared" si="1"/>
        <v/>
      </c>
    </row>
    <row r="9" spans="1:23" ht="22.8" x14ac:dyDescent="0.3">
      <c r="A9" s="17" t="s">
        <v>391</v>
      </c>
      <c r="B9" s="17" t="s">
        <v>98</v>
      </c>
      <c r="C9" s="17" t="s">
        <v>94</v>
      </c>
      <c r="D9" s="17" t="s">
        <v>99</v>
      </c>
      <c r="E9" s="17" t="s">
        <v>289</v>
      </c>
      <c r="F9" s="18" t="str">
        <f>IFERROR(INDEX('Checklist cover'!$F$5:$F$56,MATCH(B9,'Checklist cover'!$A$5:$A$56,0)),"")</f>
        <v>Nhóm 1</v>
      </c>
      <c r="G9" s="18" t="str">
        <f>IFERROR(VLOOKUP(F9,'Cấu hình'!$F$7:$G$9,2,FALSE()),"")</f>
        <v>Lâm Hoài An</v>
      </c>
      <c r="H9" s="17" t="s">
        <v>392</v>
      </c>
      <c r="I9" s="17" t="s">
        <v>386</v>
      </c>
      <c r="J9" s="17" t="s">
        <v>393</v>
      </c>
      <c r="K9" s="17" t="s">
        <v>394</v>
      </c>
      <c r="L9" s="17" t="s">
        <v>395</v>
      </c>
      <c r="M9" s="17" t="s">
        <v>376</v>
      </c>
      <c r="N9" s="17" t="s">
        <v>85</v>
      </c>
      <c r="O9" s="17" t="s">
        <v>294</v>
      </c>
      <c r="P9" s="17"/>
      <c r="Q9" s="18" t="str">
        <f t="shared" si="0"/>
        <v/>
      </c>
      <c r="R9" s="24"/>
      <c r="S9" s="19"/>
      <c r="T9" s="19" t="s">
        <v>369</v>
      </c>
      <c r="U9" s="19"/>
      <c r="V9" s="19"/>
      <c r="W9" s="18" t="str">
        <f t="shared" si="1"/>
        <v/>
      </c>
    </row>
    <row r="10" spans="1:23" x14ac:dyDescent="0.3">
      <c r="A10" s="17" t="s">
        <v>396</v>
      </c>
      <c r="B10" s="17" t="s">
        <v>102</v>
      </c>
      <c r="C10" s="17" t="s">
        <v>94</v>
      </c>
      <c r="D10" s="17" t="s">
        <v>103</v>
      </c>
      <c r="E10" s="17" t="s">
        <v>289</v>
      </c>
      <c r="F10" s="18" t="str">
        <f>IFERROR(INDEX('Checklist cover'!$F$5:$F$56,MATCH(B10,'Checklist cover'!$A$5:$A$56,0)),"")</f>
        <v>Nhóm 1</v>
      </c>
      <c r="G10" s="18" t="str">
        <f>IFERROR(VLOOKUP(F10,'Cấu hình'!$F$7:$G$9,2,FALSE()),"")</f>
        <v>Lâm Hoài An</v>
      </c>
      <c r="H10" s="17" t="s">
        <v>397</v>
      </c>
      <c r="I10" s="17" t="s">
        <v>386</v>
      </c>
      <c r="J10" s="17" t="s">
        <v>398</v>
      </c>
      <c r="K10" s="17" t="s">
        <v>399</v>
      </c>
      <c r="L10" s="17" t="s">
        <v>400</v>
      </c>
      <c r="M10" s="17" t="s">
        <v>401</v>
      </c>
      <c r="N10" s="17" t="s">
        <v>402</v>
      </c>
      <c r="O10" s="17" t="s">
        <v>294</v>
      </c>
      <c r="P10" s="17" t="s">
        <v>403</v>
      </c>
      <c r="Q10" s="18" t="str">
        <f t="shared" si="0"/>
        <v/>
      </c>
      <c r="R10" s="24"/>
      <c r="S10" s="19"/>
      <c r="T10" s="19" t="s">
        <v>369</v>
      </c>
      <c r="U10" s="19"/>
      <c r="V10" s="19"/>
      <c r="W10" s="18" t="str">
        <f t="shared" si="1"/>
        <v/>
      </c>
    </row>
    <row r="11" spans="1:23" ht="22.8" x14ac:dyDescent="0.3">
      <c r="A11" s="17" t="s">
        <v>404</v>
      </c>
      <c r="B11" s="17" t="s">
        <v>102</v>
      </c>
      <c r="C11" s="17" t="s">
        <v>94</v>
      </c>
      <c r="D11" s="17" t="s">
        <v>103</v>
      </c>
      <c r="E11" s="17" t="s">
        <v>289</v>
      </c>
      <c r="F11" s="18" t="str">
        <f>IFERROR(INDEX('Checklist cover'!$F$5:$F$56,MATCH(B11,'Checklist cover'!$A$5:$A$56,0)),"")</f>
        <v>Nhóm 1</v>
      </c>
      <c r="G11" s="18" t="str">
        <f>IFERROR(VLOOKUP(F11,'Cấu hình'!$F$7:$G$9,2,FALSE()),"")</f>
        <v>Lâm Hoài An</v>
      </c>
      <c r="H11" s="17" t="s">
        <v>405</v>
      </c>
      <c r="I11" s="17" t="s">
        <v>406</v>
      </c>
      <c r="J11" s="17" t="s">
        <v>407</v>
      </c>
      <c r="K11" s="17"/>
      <c r="L11" s="17" t="s">
        <v>408</v>
      </c>
      <c r="M11" s="17" t="s">
        <v>401</v>
      </c>
      <c r="N11" s="17" t="s">
        <v>85</v>
      </c>
      <c r="O11" s="17" t="s">
        <v>409</v>
      </c>
      <c r="P11" s="17"/>
      <c r="Q11" s="18" t="str">
        <f t="shared" si="0"/>
        <v/>
      </c>
      <c r="R11" s="24"/>
      <c r="S11" s="19"/>
      <c r="T11" s="19" t="s">
        <v>369</v>
      </c>
      <c r="U11" s="19"/>
      <c r="V11" s="19"/>
      <c r="W11" s="18" t="str">
        <f t="shared" si="1"/>
        <v/>
      </c>
    </row>
    <row r="12" spans="1:23" ht="22.8" x14ac:dyDescent="0.3">
      <c r="A12" s="17" t="s">
        <v>410</v>
      </c>
      <c r="B12" s="17" t="s">
        <v>106</v>
      </c>
      <c r="C12" s="17" t="s">
        <v>94</v>
      </c>
      <c r="D12" s="17" t="s">
        <v>107</v>
      </c>
      <c r="E12" s="17" t="s">
        <v>289</v>
      </c>
      <c r="F12" s="18" t="str">
        <f>IFERROR(INDEX('Checklist cover'!$F$5:$F$56,MATCH(B12,'Checklist cover'!$A$5:$A$56,0)),"")</f>
        <v>Nhóm 1</v>
      </c>
      <c r="G12" s="18" t="str">
        <f>IFERROR(VLOOKUP(F12,'Cấu hình'!$F$7:$G$9,2,FALSE()),"")</f>
        <v>Lâm Hoài An</v>
      </c>
      <c r="H12" s="17" t="s">
        <v>107</v>
      </c>
      <c r="I12" s="17" t="s">
        <v>411</v>
      </c>
      <c r="J12" s="17" t="s">
        <v>412</v>
      </c>
      <c r="K12" s="17"/>
      <c r="L12" s="17" t="s">
        <v>413</v>
      </c>
      <c r="M12" s="17" t="s">
        <v>368</v>
      </c>
      <c r="N12" s="17" t="s">
        <v>85</v>
      </c>
      <c r="O12" s="17" t="s">
        <v>294</v>
      </c>
      <c r="P12" s="17"/>
      <c r="Q12" s="18" t="str">
        <f t="shared" si="0"/>
        <v/>
      </c>
      <c r="R12" s="24"/>
      <c r="S12" s="19"/>
      <c r="T12" s="19" t="s">
        <v>369</v>
      </c>
      <c r="U12" s="19"/>
      <c r="V12" s="19"/>
      <c r="W12" s="18" t="str">
        <f t="shared" si="1"/>
        <v/>
      </c>
    </row>
    <row r="13" spans="1:23" ht="22.8" x14ac:dyDescent="0.3">
      <c r="A13" s="17" t="s">
        <v>414</v>
      </c>
      <c r="B13" s="17" t="s">
        <v>110</v>
      </c>
      <c r="C13" s="17" t="s">
        <v>94</v>
      </c>
      <c r="D13" s="17" t="s">
        <v>111</v>
      </c>
      <c r="E13" s="17" t="s">
        <v>289</v>
      </c>
      <c r="F13" s="18" t="str">
        <f>IFERROR(INDEX('Checklist cover'!$F$5:$F$56,MATCH(B13,'Checklist cover'!$A$5:$A$56,0)),"")</f>
        <v>Nhóm 1</v>
      </c>
      <c r="G13" s="18" t="str">
        <f>IFERROR(VLOOKUP(F13,'Cấu hình'!$F$7:$G$9,2,FALSE()),"")</f>
        <v>Lâm Hoài An</v>
      </c>
      <c r="H13" s="17" t="s">
        <v>415</v>
      </c>
      <c r="I13" s="17" t="s">
        <v>416</v>
      </c>
      <c r="J13" s="17" t="s">
        <v>417</v>
      </c>
      <c r="K13" s="17" t="s">
        <v>418</v>
      </c>
      <c r="L13" s="17" t="s">
        <v>419</v>
      </c>
      <c r="M13" s="17" t="s">
        <v>368</v>
      </c>
      <c r="N13" s="17" t="s">
        <v>85</v>
      </c>
      <c r="O13" s="17" t="s">
        <v>294</v>
      </c>
      <c r="P13" s="17"/>
      <c r="Q13" s="18" t="str">
        <f t="shared" si="0"/>
        <v/>
      </c>
      <c r="R13" s="24"/>
      <c r="S13" s="19"/>
      <c r="T13" s="19" t="s">
        <v>369</v>
      </c>
      <c r="U13" s="19"/>
      <c r="V13" s="19"/>
      <c r="W13" s="18" t="str">
        <f t="shared" si="1"/>
        <v/>
      </c>
    </row>
    <row r="14" spans="1:23" ht="22.8" x14ac:dyDescent="0.3">
      <c r="A14" s="17" t="s">
        <v>420</v>
      </c>
      <c r="B14" s="17" t="s">
        <v>110</v>
      </c>
      <c r="C14" s="17" t="s">
        <v>94</v>
      </c>
      <c r="D14" s="17" t="s">
        <v>111</v>
      </c>
      <c r="E14" s="17" t="s">
        <v>289</v>
      </c>
      <c r="F14" s="18" t="str">
        <f>IFERROR(INDEX('Checklist cover'!$F$5:$F$56,MATCH(B14,'Checklist cover'!$A$5:$A$56,0)),"")</f>
        <v>Nhóm 1</v>
      </c>
      <c r="G14" s="18" t="str">
        <f>IFERROR(VLOOKUP(F14,'Cấu hình'!$F$7:$G$9,2,FALSE()),"")</f>
        <v>Lâm Hoài An</v>
      </c>
      <c r="H14" s="17" t="s">
        <v>421</v>
      </c>
      <c r="I14" s="17"/>
      <c r="J14" s="17" t="s">
        <v>422</v>
      </c>
      <c r="K14" s="17" t="s">
        <v>423</v>
      </c>
      <c r="L14" s="17" t="s">
        <v>424</v>
      </c>
      <c r="M14" s="17" t="s">
        <v>425</v>
      </c>
      <c r="N14" s="17" t="s">
        <v>402</v>
      </c>
      <c r="O14" s="17" t="s">
        <v>329</v>
      </c>
      <c r="P14" s="17"/>
      <c r="Q14" s="18" t="str">
        <f t="shared" si="0"/>
        <v/>
      </c>
      <c r="R14" s="24"/>
      <c r="S14" s="19"/>
      <c r="T14" s="19" t="s">
        <v>369</v>
      </c>
      <c r="U14" s="19"/>
      <c r="V14" s="19"/>
      <c r="W14" s="18" t="str">
        <f t="shared" si="1"/>
        <v/>
      </c>
    </row>
    <row r="15" spans="1:23" ht="22.8" x14ac:dyDescent="0.3">
      <c r="A15" s="17" t="s">
        <v>426</v>
      </c>
      <c r="B15" s="17" t="s">
        <v>114</v>
      </c>
      <c r="C15" s="17" t="s">
        <v>94</v>
      </c>
      <c r="D15" s="17" t="s">
        <v>115</v>
      </c>
      <c r="E15" s="17" t="s">
        <v>289</v>
      </c>
      <c r="F15" s="18" t="str">
        <f>IFERROR(INDEX('Checklist cover'!$F$5:$F$56,MATCH(B15,'Checklist cover'!$A$5:$A$56,0)),"")</f>
        <v>Nhóm 1</v>
      </c>
      <c r="G15" s="18" t="str">
        <f>IFERROR(VLOOKUP(F15,'Cấu hình'!$F$7:$G$9,2,FALSE()),"")</f>
        <v>Lâm Hoài An</v>
      </c>
      <c r="H15" s="17" t="s">
        <v>427</v>
      </c>
      <c r="I15" s="17" t="s">
        <v>428</v>
      </c>
      <c r="J15" s="17" t="s">
        <v>429</v>
      </c>
      <c r="K15" s="17" t="s">
        <v>430</v>
      </c>
      <c r="L15" s="17" t="s">
        <v>431</v>
      </c>
      <c r="M15" s="17" t="s">
        <v>401</v>
      </c>
      <c r="N15" s="17" t="s">
        <v>85</v>
      </c>
      <c r="O15" s="17" t="s">
        <v>294</v>
      </c>
      <c r="P15" s="17"/>
      <c r="Q15" s="18" t="str">
        <f t="shared" si="0"/>
        <v/>
      </c>
      <c r="R15" s="24"/>
      <c r="S15" s="19"/>
      <c r="T15" s="19" t="s">
        <v>369</v>
      </c>
      <c r="U15" s="19"/>
      <c r="V15" s="19"/>
      <c r="W15" s="18" t="str">
        <f t="shared" si="1"/>
        <v/>
      </c>
    </row>
    <row r="16" spans="1:23" x14ac:dyDescent="0.3">
      <c r="A16" s="17" t="s">
        <v>432</v>
      </c>
      <c r="B16" s="17" t="s">
        <v>114</v>
      </c>
      <c r="C16" s="17" t="s">
        <v>94</v>
      </c>
      <c r="D16" s="17" t="s">
        <v>115</v>
      </c>
      <c r="E16" s="17" t="s">
        <v>289</v>
      </c>
      <c r="F16" s="18" t="str">
        <f>IFERROR(INDEX('Checklist cover'!$F$5:$F$56,MATCH(B16,'Checklist cover'!$A$5:$A$56,0)),"")</f>
        <v>Nhóm 1</v>
      </c>
      <c r="G16" s="18" t="str">
        <f>IFERROR(VLOOKUP(F16,'Cấu hình'!$F$7:$G$9,2,FALSE()),"")</f>
        <v>Lâm Hoài An</v>
      </c>
      <c r="H16" s="17" t="s">
        <v>433</v>
      </c>
      <c r="I16" s="17" t="s">
        <v>434</v>
      </c>
      <c r="J16" s="17" t="s">
        <v>435</v>
      </c>
      <c r="K16" s="17"/>
      <c r="L16" s="17" t="s">
        <v>436</v>
      </c>
      <c r="M16" s="17" t="s">
        <v>401</v>
      </c>
      <c r="N16" s="17" t="s">
        <v>402</v>
      </c>
      <c r="O16" s="17" t="s">
        <v>294</v>
      </c>
      <c r="P16" s="17"/>
      <c r="Q16" s="18" t="str">
        <f t="shared" si="0"/>
        <v/>
      </c>
      <c r="R16" s="24"/>
      <c r="S16" s="19"/>
      <c r="T16" s="19" t="s">
        <v>369</v>
      </c>
      <c r="U16" s="19"/>
      <c r="V16" s="19"/>
      <c r="W16" s="18" t="str">
        <f t="shared" si="1"/>
        <v/>
      </c>
    </row>
    <row r="17" spans="1:23" ht="22.8" x14ac:dyDescent="0.3">
      <c r="A17" s="17" t="s">
        <v>437</v>
      </c>
      <c r="B17" s="17" t="s">
        <v>118</v>
      </c>
      <c r="C17" s="17" t="s">
        <v>119</v>
      </c>
      <c r="D17" s="17" t="s">
        <v>120</v>
      </c>
      <c r="E17" s="17" t="s">
        <v>295</v>
      </c>
      <c r="F17" s="18" t="str">
        <f>IFERROR(INDEX('Checklist cover'!$F$5:$F$56,MATCH(B17,'Checklist cover'!$A$5:$A$56,0)),"")</f>
        <v>Nhóm 1</v>
      </c>
      <c r="G17" s="18" t="str">
        <f>IFERROR(VLOOKUP(F17,'Cấu hình'!$F$7:$G$9,2,FALSE()),"")</f>
        <v>Lâm Hoài An</v>
      </c>
      <c r="H17" s="17" t="s">
        <v>438</v>
      </c>
      <c r="I17" s="17" t="s">
        <v>364</v>
      </c>
      <c r="J17" s="17" t="s">
        <v>439</v>
      </c>
      <c r="K17" s="17" t="s">
        <v>440</v>
      </c>
      <c r="L17" s="17" t="s">
        <v>441</v>
      </c>
      <c r="M17" s="17" t="s">
        <v>442</v>
      </c>
      <c r="N17" s="17" t="s">
        <v>443</v>
      </c>
      <c r="O17" s="17" t="s">
        <v>294</v>
      </c>
      <c r="P17" s="17"/>
      <c r="Q17" s="18" t="str">
        <f t="shared" si="0"/>
        <v/>
      </c>
      <c r="R17" s="24"/>
      <c r="S17" s="19"/>
      <c r="T17" s="19" t="s">
        <v>369</v>
      </c>
      <c r="U17" s="19"/>
      <c r="V17" s="19"/>
      <c r="W17" s="18" t="str">
        <f t="shared" si="1"/>
        <v/>
      </c>
    </row>
    <row r="18" spans="1:23" ht="34.200000000000003" x14ac:dyDescent="0.3">
      <c r="A18" s="17" t="s">
        <v>444</v>
      </c>
      <c r="B18" s="17" t="s">
        <v>118</v>
      </c>
      <c r="C18" s="17" t="s">
        <v>119</v>
      </c>
      <c r="D18" s="17" t="s">
        <v>120</v>
      </c>
      <c r="E18" s="17" t="s">
        <v>295</v>
      </c>
      <c r="F18" s="18" t="str">
        <f>IFERROR(INDEX('Checklist cover'!$F$5:$F$56,MATCH(B18,'Checklist cover'!$A$5:$A$56,0)),"")</f>
        <v>Nhóm 1</v>
      </c>
      <c r="G18" s="18" t="str">
        <f>IFERROR(VLOOKUP(F18,'Cấu hình'!$F$7:$G$9,2,FALSE()),"")</f>
        <v>Lâm Hoài An</v>
      </c>
      <c r="H18" s="17" t="s">
        <v>445</v>
      </c>
      <c r="I18" s="17" t="s">
        <v>364</v>
      </c>
      <c r="J18" s="17" t="s">
        <v>446</v>
      </c>
      <c r="K18" s="17" t="s">
        <v>440</v>
      </c>
      <c r="L18" s="17" t="s">
        <v>447</v>
      </c>
      <c r="M18" s="17" t="s">
        <v>442</v>
      </c>
      <c r="N18" s="17" t="s">
        <v>443</v>
      </c>
      <c r="O18" s="17" t="s">
        <v>294</v>
      </c>
      <c r="P18" s="17" t="s">
        <v>448</v>
      </c>
      <c r="Q18" s="18" t="str">
        <f t="shared" si="0"/>
        <v/>
      </c>
      <c r="R18" s="24"/>
      <c r="S18" s="19"/>
      <c r="T18" s="19" t="s">
        <v>369</v>
      </c>
      <c r="U18" s="19"/>
      <c r="V18" s="19"/>
      <c r="W18" s="18" t="str">
        <f t="shared" si="1"/>
        <v/>
      </c>
    </row>
    <row r="19" spans="1:23" ht="22.8" x14ac:dyDescent="0.3">
      <c r="A19" s="17" t="s">
        <v>449</v>
      </c>
      <c r="B19" s="17" t="s">
        <v>118</v>
      </c>
      <c r="C19" s="17" t="s">
        <v>119</v>
      </c>
      <c r="D19" s="17" t="s">
        <v>120</v>
      </c>
      <c r="E19" s="17" t="s">
        <v>295</v>
      </c>
      <c r="F19" s="18" t="str">
        <f>IFERROR(INDEX('Checklist cover'!$F$5:$F$56,MATCH(B19,'Checklist cover'!$A$5:$A$56,0)),"")</f>
        <v>Nhóm 1</v>
      </c>
      <c r="G19" s="18" t="str">
        <f>IFERROR(VLOOKUP(F19,'Cấu hình'!$F$7:$G$9,2,FALSE()),"")</f>
        <v>Lâm Hoài An</v>
      </c>
      <c r="H19" s="17" t="s">
        <v>450</v>
      </c>
      <c r="I19" s="17" t="s">
        <v>451</v>
      </c>
      <c r="J19" s="17" t="s">
        <v>452</v>
      </c>
      <c r="K19" s="17" t="s">
        <v>440</v>
      </c>
      <c r="L19" s="17" t="s">
        <v>453</v>
      </c>
      <c r="M19" s="17" t="s">
        <v>442</v>
      </c>
      <c r="N19" s="17" t="s">
        <v>443</v>
      </c>
      <c r="O19" s="17" t="s">
        <v>294</v>
      </c>
      <c r="P19" s="17"/>
      <c r="Q19" s="18" t="str">
        <f t="shared" si="0"/>
        <v/>
      </c>
      <c r="R19" s="24"/>
      <c r="S19" s="19"/>
      <c r="T19" s="19" t="s">
        <v>369</v>
      </c>
      <c r="U19" s="19"/>
      <c r="V19" s="19"/>
      <c r="W19" s="18" t="str">
        <f t="shared" si="1"/>
        <v/>
      </c>
    </row>
    <row r="20" spans="1:23" ht="22.8" x14ac:dyDescent="0.3">
      <c r="A20" s="17" t="s">
        <v>454</v>
      </c>
      <c r="B20" s="17" t="s">
        <v>118</v>
      </c>
      <c r="C20" s="17" t="s">
        <v>119</v>
      </c>
      <c r="D20" s="17" t="s">
        <v>120</v>
      </c>
      <c r="E20" s="17" t="s">
        <v>295</v>
      </c>
      <c r="F20" s="18" t="str">
        <f>IFERROR(INDEX('Checklist cover'!$F$5:$F$56,MATCH(B20,'Checklist cover'!$A$5:$A$56,0)),"")</f>
        <v>Nhóm 1</v>
      </c>
      <c r="G20" s="18" t="str">
        <f>IFERROR(VLOOKUP(F20,'Cấu hình'!$F$7:$G$9,2,FALSE()),"")</f>
        <v>Lâm Hoài An</v>
      </c>
      <c r="H20" s="17" t="s">
        <v>455</v>
      </c>
      <c r="I20" s="17" t="s">
        <v>456</v>
      </c>
      <c r="J20" s="17" t="s">
        <v>457</v>
      </c>
      <c r="K20" s="17"/>
      <c r="L20" s="17" t="s">
        <v>458</v>
      </c>
      <c r="M20" s="17" t="s">
        <v>442</v>
      </c>
      <c r="N20" s="17" t="s">
        <v>443</v>
      </c>
      <c r="O20" s="17" t="s">
        <v>294</v>
      </c>
      <c r="P20" s="17"/>
      <c r="Q20" s="18" t="str">
        <f t="shared" si="0"/>
        <v/>
      </c>
      <c r="R20" s="24"/>
      <c r="S20" s="19"/>
      <c r="T20" s="19" t="s">
        <v>369</v>
      </c>
      <c r="U20" s="19"/>
      <c r="V20" s="19"/>
      <c r="W20" s="18" t="str">
        <f t="shared" si="1"/>
        <v/>
      </c>
    </row>
    <row r="21" spans="1:23" ht="22.8" x14ac:dyDescent="0.3">
      <c r="A21" s="17" t="s">
        <v>459</v>
      </c>
      <c r="B21" s="17" t="s">
        <v>122</v>
      </c>
      <c r="C21" s="17" t="s">
        <v>123</v>
      </c>
      <c r="D21" s="17" t="s">
        <v>124</v>
      </c>
      <c r="E21" s="17" t="s">
        <v>299</v>
      </c>
      <c r="F21" s="18" t="str">
        <f>IFERROR(INDEX('Checklist cover'!$F$5:$F$56,MATCH(B21,'Checklist cover'!$A$5:$A$56,0)),"")</f>
        <v>Nhóm 1</v>
      </c>
      <c r="G21" s="18" t="str">
        <f>IFERROR(VLOOKUP(F21,'Cấu hình'!$F$7:$G$9,2,FALSE()),"")</f>
        <v>Lâm Hoài An</v>
      </c>
      <c r="H21" s="17" t="s">
        <v>460</v>
      </c>
      <c r="I21" s="17"/>
      <c r="J21" s="17" t="s">
        <v>461</v>
      </c>
      <c r="K21" s="17"/>
      <c r="L21" s="17" t="s">
        <v>462</v>
      </c>
      <c r="M21" s="17" t="s">
        <v>425</v>
      </c>
      <c r="N21" s="17" t="s">
        <v>463</v>
      </c>
      <c r="O21" s="17" t="s">
        <v>294</v>
      </c>
      <c r="P21" s="17"/>
      <c r="Q21" s="18" t="str">
        <f t="shared" si="0"/>
        <v/>
      </c>
      <c r="R21" s="24"/>
      <c r="S21" s="19"/>
      <c r="T21" s="19" t="s">
        <v>369</v>
      </c>
      <c r="U21" s="19"/>
      <c r="V21" s="19"/>
      <c r="W21" s="18" t="str">
        <f t="shared" si="1"/>
        <v/>
      </c>
    </row>
    <row r="22" spans="1:23" ht="22.8" x14ac:dyDescent="0.3">
      <c r="A22" s="17" t="s">
        <v>464</v>
      </c>
      <c r="B22" s="17" t="s">
        <v>122</v>
      </c>
      <c r="C22" s="17" t="s">
        <v>123</v>
      </c>
      <c r="D22" s="17" t="s">
        <v>124</v>
      </c>
      <c r="E22" s="17" t="s">
        <v>299</v>
      </c>
      <c r="F22" s="18" t="str">
        <f>IFERROR(INDEX('Checklist cover'!$F$5:$F$56,MATCH(B22,'Checklist cover'!$A$5:$A$56,0)),"")</f>
        <v>Nhóm 1</v>
      </c>
      <c r="G22" s="18" t="str">
        <f>IFERROR(VLOOKUP(F22,'Cấu hình'!$F$7:$G$9,2,FALSE()),"")</f>
        <v>Lâm Hoài An</v>
      </c>
      <c r="H22" s="17" t="s">
        <v>465</v>
      </c>
      <c r="I22" s="17"/>
      <c r="J22" s="17" t="s">
        <v>466</v>
      </c>
      <c r="K22" s="17"/>
      <c r="L22" s="17" t="s">
        <v>467</v>
      </c>
      <c r="M22" s="17" t="s">
        <v>368</v>
      </c>
      <c r="N22" s="17" t="s">
        <v>85</v>
      </c>
      <c r="O22" s="17" t="s">
        <v>329</v>
      </c>
      <c r="P22" s="17"/>
      <c r="Q22" s="18" t="str">
        <f t="shared" si="0"/>
        <v/>
      </c>
      <c r="R22" s="24"/>
      <c r="S22" s="19"/>
      <c r="T22" s="19" t="s">
        <v>369</v>
      </c>
      <c r="U22" s="19"/>
      <c r="V22" s="19"/>
      <c r="W22" s="18" t="str">
        <f t="shared" si="1"/>
        <v/>
      </c>
    </row>
    <row r="23" spans="1:23" ht="22.8" x14ac:dyDescent="0.3">
      <c r="A23" s="17" t="s">
        <v>468</v>
      </c>
      <c r="B23" s="17" t="s">
        <v>127</v>
      </c>
      <c r="C23" s="17" t="s">
        <v>123</v>
      </c>
      <c r="D23" s="17" t="s">
        <v>128</v>
      </c>
      <c r="E23" s="17" t="s">
        <v>299</v>
      </c>
      <c r="F23" s="18" t="str">
        <f>IFERROR(INDEX('Checklist cover'!$F$5:$F$56,MATCH(B23,'Checklist cover'!$A$5:$A$56,0)),"")</f>
        <v>Nhóm 1</v>
      </c>
      <c r="G23" s="18" t="str">
        <f>IFERROR(VLOOKUP(F23,'Cấu hình'!$F$7:$G$9,2,FALSE()),"")</f>
        <v>Lâm Hoài An</v>
      </c>
      <c r="H23" s="17" t="s">
        <v>469</v>
      </c>
      <c r="I23" s="17"/>
      <c r="J23" s="17" t="s">
        <v>470</v>
      </c>
      <c r="K23" s="17" t="s">
        <v>471</v>
      </c>
      <c r="L23" s="17" t="s">
        <v>472</v>
      </c>
      <c r="M23" s="17" t="s">
        <v>368</v>
      </c>
      <c r="N23" s="17" t="s">
        <v>85</v>
      </c>
      <c r="O23" s="17" t="s">
        <v>329</v>
      </c>
      <c r="P23" s="17"/>
      <c r="Q23" s="18" t="str">
        <f t="shared" si="0"/>
        <v/>
      </c>
      <c r="R23" s="24"/>
      <c r="S23" s="19"/>
      <c r="T23" s="19" t="s">
        <v>369</v>
      </c>
      <c r="U23" s="19"/>
      <c r="V23" s="19"/>
      <c r="W23" s="18" t="str">
        <f t="shared" si="1"/>
        <v/>
      </c>
    </row>
    <row r="24" spans="1:23" ht="22.8" x14ac:dyDescent="0.3">
      <c r="A24" s="17" t="s">
        <v>473</v>
      </c>
      <c r="B24" s="17" t="s">
        <v>127</v>
      </c>
      <c r="C24" s="17" t="s">
        <v>123</v>
      </c>
      <c r="D24" s="17" t="s">
        <v>128</v>
      </c>
      <c r="E24" s="17" t="s">
        <v>299</v>
      </c>
      <c r="F24" s="18" t="str">
        <f>IFERROR(INDEX('Checklist cover'!$F$5:$F$56,MATCH(B24,'Checklist cover'!$A$5:$A$56,0)),"")</f>
        <v>Nhóm 1</v>
      </c>
      <c r="G24" s="18" t="str">
        <f>IFERROR(VLOOKUP(F24,'Cấu hình'!$F$7:$G$9,2,FALSE()),"")</f>
        <v>Lâm Hoài An</v>
      </c>
      <c r="H24" s="17" t="s">
        <v>474</v>
      </c>
      <c r="I24" s="17"/>
      <c r="J24" s="17" t="s">
        <v>475</v>
      </c>
      <c r="K24" s="17" t="s">
        <v>476</v>
      </c>
      <c r="L24" s="17" t="s">
        <v>477</v>
      </c>
      <c r="M24" s="17" t="s">
        <v>368</v>
      </c>
      <c r="N24" s="17" t="s">
        <v>85</v>
      </c>
      <c r="O24" s="17" t="s">
        <v>409</v>
      </c>
      <c r="P24" s="17"/>
      <c r="Q24" s="18" t="str">
        <f t="shared" si="0"/>
        <v/>
      </c>
      <c r="R24" s="24"/>
      <c r="S24" s="19"/>
      <c r="T24" s="19" t="s">
        <v>369</v>
      </c>
      <c r="U24" s="19"/>
      <c r="V24" s="19"/>
      <c r="W24" s="18" t="str">
        <f t="shared" si="1"/>
        <v/>
      </c>
    </row>
    <row r="25" spans="1:23" ht="22.8" x14ac:dyDescent="0.3">
      <c r="A25" s="17" t="s">
        <v>478</v>
      </c>
      <c r="B25" s="17" t="s">
        <v>131</v>
      </c>
      <c r="C25" s="17" t="s">
        <v>123</v>
      </c>
      <c r="D25" s="17" t="s">
        <v>132</v>
      </c>
      <c r="E25" s="17" t="s">
        <v>299</v>
      </c>
      <c r="F25" s="18" t="str">
        <f>IFERROR(INDEX('Checklist cover'!$F$5:$F$56,MATCH(B25,'Checklist cover'!$A$5:$A$56,0)),"")</f>
        <v>Nhóm 1</v>
      </c>
      <c r="G25" s="18" t="str">
        <f>IFERROR(VLOOKUP(F25,'Cấu hình'!$F$7:$G$9,2,FALSE()),"")</f>
        <v>Lâm Hoài An</v>
      </c>
      <c r="H25" s="17" t="s">
        <v>479</v>
      </c>
      <c r="I25" s="17"/>
      <c r="J25" s="17" t="s">
        <v>480</v>
      </c>
      <c r="K25" s="17"/>
      <c r="L25" s="17" t="s">
        <v>481</v>
      </c>
      <c r="M25" s="17" t="s">
        <v>425</v>
      </c>
      <c r="N25" s="17" t="s">
        <v>463</v>
      </c>
      <c r="O25" s="17" t="s">
        <v>409</v>
      </c>
      <c r="P25" s="17"/>
      <c r="Q25" s="18" t="str">
        <f t="shared" si="0"/>
        <v/>
      </c>
      <c r="R25" s="24"/>
      <c r="S25" s="19"/>
      <c r="T25" s="19" t="s">
        <v>369</v>
      </c>
      <c r="U25" s="19"/>
      <c r="V25" s="19"/>
      <c r="W25" s="18" t="str">
        <f t="shared" si="1"/>
        <v/>
      </c>
    </row>
    <row r="26" spans="1:23" ht="22.8" x14ac:dyDescent="0.3">
      <c r="A26" s="17" t="s">
        <v>482</v>
      </c>
      <c r="B26" s="17" t="s">
        <v>134</v>
      </c>
      <c r="C26" s="17" t="s">
        <v>135</v>
      </c>
      <c r="D26" s="17" t="s">
        <v>136</v>
      </c>
      <c r="E26" s="17" t="s">
        <v>299</v>
      </c>
      <c r="F26" s="18" t="str">
        <f>IFERROR(INDEX('Checklist cover'!$F$5:$F$56,MATCH(B26,'Checklist cover'!$A$5:$A$56,0)),"")</f>
        <v>Nhóm 1</v>
      </c>
      <c r="G26" s="18" t="str">
        <f>IFERROR(VLOOKUP(F26,'Cấu hình'!$F$7:$G$9,2,FALSE()),"")</f>
        <v>Lâm Hoài An</v>
      </c>
      <c r="H26" s="17" t="s">
        <v>483</v>
      </c>
      <c r="I26" s="17"/>
      <c r="J26" s="17" t="s">
        <v>484</v>
      </c>
      <c r="K26" s="17"/>
      <c r="L26" s="17" t="s">
        <v>485</v>
      </c>
      <c r="M26" s="17" t="s">
        <v>368</v>
      </c>
      <c r="N26" s="17" t="s">
        <v>85</v>
      </c>
      <c r="O26" s="17" t="s">
        <v>294</v>
      </c>
      <c r="P26" s="17"/>
      <c r="Q26" s="18" t="str">
        <f t="shared" si="0"/>
        <v/>
      </c>
      <c r="R26" s="24"/>
      <c r="S26" s="19"/>
      <c r="T26" s="19" t="s">
        <v>369</v>
      </c>
      <c r="U26" s="19"/>
      <c r="V26" s="19"/>
      <c r="W26" s="18" t="str">
        <f t="shared" si="1"/>
        <v/>
      </c>
    </row>
    <row r="27" spans="1:23" ht="22.8" x14ac:dyDescent="0.3">
      <c r="A27" s="17" t="s">
        <v>486</v>
      </c>
      <c r="B27" s="17" t="s">
        <v>134</v>
      </c>
      <c r="C27" s="17" t="s">
        <v>135</v>
      </c>
      <c r="D27" s="17" t="s">
        <v>136</v>
      </c>
      <c r="E27" s="17" t="s">
        <v>299</v>
      </c>
      <c r="F27" s="18" t="str">
        <f>IFERROR(INDEX('Checklist cover'!$F$5:$F$56,MATCH(B27,'Checklist cover'!$A$5:$A$56,0)),"")</f>
        <v>Nhóm 1</v>
      </c>
      <c r="G27" s="18" t="str">
        <f>IFERROR(VLOOKUP(F27,'Cấu hình'!$F$7:$G$9,2,FALSE()),"")</f>
        <v>Lâm Hoài An</v>
      </c>
      <c r="H27" s="17" t="s">
        <v>487</v>
      </c>
      <c r="I27" s="17"/>
      <c r="J27" s="17" t="s">
        <v>488</v>
      </c>
      <c r="K27" s="17"/>
      <c r="L27" s="17" t="s">
        <v>489</v>
      </c>
      <c r="M27" s="17" t="s">
        <v>368</v>
      </c>
      <c r="N27" s="17" t="s">
        <v>85</v>
      </c>
      <c r="O27" s="17" t="s">
        <v>329</v>
      </c>
      <c r="P27" s="17"/>
      <c r="Q27" s="18" t="str">
        <f t="shared" si="0"/>
        <v/>
      </c>
      <c r="R27" s="24"/>
      <c r="S27" s="19"/>
      <c r="T27" s="19" t="s">
        <v>369</v>
      </c>
      <c r="U27" s="19"/>
      <c r="V27" s="19"/>
      <c r="W27" s="18" t="str">
        <f t="shared" si="1"/>
        <v/>
      </c>
    </row>
    <row r="28" spans="1:23" ht="22.8" x14ac:dyDescent="0.3">
      <c r="A28" s="17" t="s">
        <v>490</v>
      </c>
      <c r="B28" s="17" t="s">
        <v>138</v>
      </c>
      <c r="C28" s="17" t="s">
        <v>135</v>
      </c>
      <c r="D28" s="17" t="s">
        <v>139</v>
      </c>
      <c r="E28" s="17" t="s">
        <v>299</v>
      </c>
      <c r="F28" s="18" t="str">
        <f>IFERROR(INDEX('Checklist cover'!$F$5:$F$56,MATCH(B28,'Checklist cover'!$A$5:$A$56,0)),"")</f>
        <v>Nhóm 1</v>
      </c>
      <c r="G28" s="18" t="str">
        <f>IFERROR(VLOOKUP(F28,'Cấu hình'!$F$7:$G$9,2,FALSE()),"")</f>
        <v>Lâm Hoài An</v>
      </c>
      <c r="H28" s="17" t="s">
        <v>491</v>
      </c>
      <c r="I28" s="17"/>
      <c r="J28" s="17" t="s">
        <v>492</v>
      </c>
      <c r="K28" s="17" t="s">
        <v>493</v>
      </c>
      <c r="L28" s="17" t="s">
        <v>494</v>
      </c>
      <c r="M28" s="17" t="s">
        <v>368</v>
      </c>
      <c r="N28" s="17" t="s">
        <v>85</v>
      </c>
      <c r="O28" s="17" t="s">
        <v>329</v>
      </c>
      <c r="P28" s="17"/>
      <c r="Q28" s="18" t="str">
        <f t="shared" si="0"/>
        <v/>
      </c>
      <c r="R28" s="24"/>
      <c r="S28" s="19"/>
      <c r="T28" s="19" t="s">
        <v>369</v>
      </c>
      <c r="U28" s="19"/>
      <c r="V28" s="19"/>
      <c r="W28" s="18" t="str">
        <f t="shared" si="1"/>
        <v/>
      </c>
    </row>
    <row r="29" spans="1:23" ht="22.8" x14ac:dyDescent="0.3">
      <c r="A29" s="17" t="s">
        <v>495</v>
      </c>
      <c r="B29" s="17" t="s">
        <v>138</v>
      </c>
      <c r="C29" s="17" t="s">
        <v>135</v>
      </c>
      <c r="D29" s="17" t="s">
        <v>139</v>
      </c>
      <c r="E29" s="17" t="s">
        <v>299</v>
      </c>
      <c r="F29" s="18" t="str">
        <f>IFERROR(INDEX('Checklist cover'!$F$5:$F$56,MATCH(B29,'Checklist cover'!$A$5:$A$56,0)),"")</f>
        <v>Nhóm 1</v>
      </c>
      <c r="G29" s="18" t="str">
        <f>IFERROR(VLOOKUP(F29,'Cấu hình'!$F$7:$G$9,2,FALSE()),"")</f>
        <v>Lâm Hoài An</v>
      </c>
      <c r="H29" s="17" t="s">
        <v>496</v>
      </c>
      <c r="I29" s="17"/>
      <c r="J29" s="17" t="s">
        <v>497</v>
      </c>
      <c r="K29" s="17" t="s">
        <v>498</v>
      </c>
      <c r="L29" s="17" t="s">
        <v>499</v>
      </c>
      <c r="M29" s="17" t="s">
        <v>425</v>
      </c>
      <c r="N29" s="17" t="s">
        <v>402</v>
      </c>
      <c r="O29" s="17" t="s">
        <v>329</v>
      </c>
      <c r="P29" s="17"/>
      <c r="Q29" s="18" t="str">
        <f t="shared" si="0"/>
        <v/>
      </c>
      <c r="R29" s="24"/>
      <c r="S29" s="19"/>
      <c r="T29" s="19" t="s">
        <v>369</v>
      </c>
      <c r="U29" s="19"/>
      <c r="V29" s="19"/>
      <c r="W29" s="18" t="str">
        <f t="shared" si="1"/>
        <v/>
      </c>
    </row>
    <row r="30" spans="1:23" ht="22.8" x14ac:dyDescent="0.3">
      <c r="A30" s="17" t="s">
        <v>500</v>
      </c>
      <c r="B30" s="17" t="s">
        <v>142</v>
      </c>
      <c r="C30" s="17" t="s">
        <v>135</v>
      </c>
      <c r="D30" s="17" t="s">
        <v>143</v>
      </c>
      <c r="E30" s="17" t="s">
        <v>299</v>
      </c>
      <c r="F30" s="18" t="str">
        <f>IFERROR(INDEX('Checklist cover'!$F$5:$F$56,MATCH(B30,'Checklist cover'!$A$5:$A$56,0)),"")</f>
        <v>Nhóm 1</v>
      </c>
      <c r="G30" s="18" t="str">
        <f>IFERROR(VLOOKUP(F30,'Cấu hình'!$F$7:$G$9,2,FALSE()),"")</f>
        <v>Lâm Hoài An</v>
      </c>
      <c r="H30" s="17" t="s">
        <v>501</v>
      </c>
      <c r="I30" s="17"/>
      <c r="J30" s="17" t="s">
        <v>502</v>
      </c>
      <c r="K30" s="17"/>
      <c r="L30" s="17" t="s">
        <v>503</v>
      </c>
      <c r="M30" s="17" t="s">
        <v>368</v>
      </c>
      <c r="N30" s="17" t="s">
        <v>85</v>
      </c>
      <c r="O30" s="17" t="s">
        <v>294</v>
      </c>
      <c r="P30" s="17"/>
      <c r="Q30" s="18" t="str">
        <f t="shared" si="0"/>
        <v/>
      </c>
      <c r="R30" s="24"/>
      <c r="S30" s="19"/>
      <c r="T30" s="19" t="s">
        <v>369</v>
      </c>
      <c r="U30" s="19"/>
      <c r="V30" s="19"/>
      <c r="W30" s="18" t="str">
        <f t="shared" si="1"/>
        <v/>
      </c>
    </row>
    <row r="31" spans="1:23" ht="22.8" x14ac:dyDescent="0.3">
      <c r="A31" s="17" t="s">
        <v>504</v>
      </c>
      <c r="B31" s="17" t="s">
        <v>142</v>
      </c>
      <c r="C31" s="17" t="s">
        <v>135</v>
      </c>
      <c r="D31" s="17" t="s">
        <v>143</v>
      </c>
      <c r="E31" s="17" t="s">
        <v>299</v>
      </c>
      <c r="F31" s="18" t="str">
        <f>IFERROR(INDEX('Checklist cover'!$F$5:$F$56,MATCH(B31,'Checklist cover'!$A$5:$A$56,0)),"")</f>
        <v>Nhóm 1</v>
      </c>
      <c r="G31" s="18" t="str">
        <f>IFERROR(VLOOKUP(F31,'Cấu hình'!$F$7:$G$9,2,FALSE()),"")</f>
        <v>Lâm Hoài An</v>
      </c>
      <c r="H31" s="17" t="s">
        <v>505</v>
      </c>
      <c r="I31" s="17"/>
      <c r="J31" s="17" t="s">
        <v>506</v>
      </c>
      <c r="K31" s="17" t="s">
        <v>498</v>
      </c>
      <c r="L31" s="17" t="s">
        <v>507</v>
      </c>
      <c r="M31" s="17" t="s">
        <v>425</v>
      </c>
      <c r="N31" s="17" t="s">
        <v>402</v>
      </c>
      <c r="O31" s="17" t="s">
        <v>294</v>
      </c>
      <c r="P31" s="17"/>
      <c r="Q31" s="18" t="str">
        <f t="shared" si="0"/>
        <v/>
      </c>
      <c r="R31" s="24"/>
      <c r="S31" s="19"/>
      <c r="T31" s="19" t="s">
        <v>369</v>
      </c>
      <c r="U31" s="19"/>
      <c r="V31" s="19"/>
      <c r="W31" s="18" t="str">
        <f t="shared" si="1"/>
        <v/>
      </c>
    </row>
    <row r="32" spans="1:23" ht="22.8" x14ac:dyDescent="0.3">
      <c r="A32" s="17" t="s">
        <v>508</v>
      </c>
      <c r="B32" s="17" t="s">
        <v>145</v>
      </c>
      <c r="C32" s="17" t="s">
        <v>135</v>
      </c>
      <c r="D32" s="17" t="s">
        <v>146</v>
      </c>
      <c r="E32" s="17" t="s">
        <v>303</v>
      </c>
      <c r="F32" s="18" t="str">
        <f>IFERROR(INDEX('Checklist cover'!$F$5:$F$56,MATCH(B32,'Checklist cover'!$A$5:$A$56,0)),"")</f>
        <v>Nhóm 1</v>
      </c>
      <c r="G32" s="18" t="str">
        <f>IFERROR(VLOOKUP(F32,'Cấu hình'!$F$7:$G$9,2,FALSE()),"")</f>
        <v>Lâm Hoài An</v>
      </c>
      <c r="H32" s="17" t="s">
        <v>509</v>
      </c>
      <c r="I32" s="17" t="s">
        <v>451</v>
      </c>
      <c r="J32" s="17" t="s">
        <v>510</v>
      </c>
      <c r="K32" s="17" t="s">
        <v>511</v>
      </c>
      <c r="L32" s="17" t="s">
        <v>512</v>
      </c>
      <c r="M32" s="17" t="s">
        <v>368</v>
      </c>
      <c r="N32" s="17" t="s">
        <v>85</v>
      </c>
      <c r="O32" s="17" t="s">
        <v>294</v>
      </c>
      <c r="P32" s="17"/>
      <c r="Q32" s="18" t="str">
        <f t="shared" si="0"/>
        <v/>
      </c>
      <c r="R32" s="24"/>
      <c r="S32" s="19"/>
      <c r="T32" s="19" t="s">
        <v>369</v>
      </c>
      <c r="U32" s="19"/>
      <c r="V32" s="19"/>
      <c r="W32" s="18" t="str">
        <f t="shared" si="1"/>
        <v/>
      </c>
    </row>
    <row r="33" spans="1:23" x14ac:dyDescent="0.3">
      <c r="A33" s="17" t="s">
        <v>513</v>
      </c>
      <c r="B33" s="17" t="s">
        <v>145</v>
      </c>
      <c r="C33" s="17" t="s">
        <v>135</v>
      </c>
      <c r="D33" s="17" t="s">
        <v>146</v>
      </c>
      <c r="E33" s="17" t="s">
        <v>303</v>
      </c>
      <c r="F33" s="18" t="str">
        <f>IFERROR(INDEX('Checklist cover'!$F$5:$F$56,MATCH(B33,'Checklist cover'!$A$5:$A$56,0)),"")</f>
        <v>Nhóm 1</v>
      </c>
      <c r="G33" s="18" t="str">
        <f>IFERROR(VLOOKUP(F33,'Cấu hình'!$F$7:$G$9,2,FALSE()),"")</f>
        <v>Lâm Hoài An</v>
      </c>
      <c r="H33" s="17" t="s">
        <v>514</v>
      </c>
      <c r="I33" s="17" t="s">
        <v>451</v>
      </c>
      <c r="J33" s="17" t="s">
        <v>515</v>
      </c>
      <c r="K33" s="17" t="s">
        <v>516</v>
      </c>
      <c r="L33" s="17" t="s">
        <v>517</v>
      </c>
      <c r="M33" s="17" t="s">
        <v>382</v>
      </c>
      <c r="N33" s="17" t="s">
        <v>383</v>
      </c>
      <c r="O33" s="17" t="s">
        <v>294</v>
      </c>
      <c r="P33" s="17"/>
      <c r="Q33" s="18" t="str">
        <f t="shared" si="0"/>
        <v/>
      </c>
      <c r="R33" s="24"/>
      <c r="S33" s="19"/>
      <c r="T33" s="19" t="s">
        <v>369</v>
      </c>
      <c r="U33" s="19"/>
      <c r="V33" s="19"/>
      <c r="W33" s="18" t="str">
        <f t="shared" si="1"/>
        <v/>
      </c>
    </row>
    <row r="34" spans="1:23" ht="22.8" x14ac:dyDescent="0.3">
      <c r="A34" s="17" t="s">
        <v>518</v>
      </c>
      <c r="B34" s="17" t="s">
        <v>148</v>
      </c>
      <c r="C34" s="17" t="s">
        <v>135</v>
      </c>
      <c r="D34" s="17" t="s">
        <v>149</v>
      </c>
      <c r="E34" s="17" t="s">
        <v>303</v>
      </c>
      <c r="F34" s="18" t="str">
        <f>IFERROR(INDEX('Checklist cover'!$F$5:$F$56,MATCH(B34,'Checklist cover'!$A$5:$A$56,0)),"")</f>
        <v>Nhóm 1</v>
      </c>
      <c r="G34" s="18" t="str">
        <f>IFERROR(VLOOKUP(F34,'Cấu hình'!$F$7:$G$9,2,FALSE()),"")</f>
        <v>Lâm Hoài An</v>
      </c>
      <c r="H34" s="17" t="s">
        <v>519</v>
      </c>
      <c r="I34" s="17" t="s">
        <v>451</v>
      </c>
      <c r="J34" s="17" t="s">
        <v>520</v>
      </c>
      <c r="K34" s="17" t="s">
        <v>521</v>
      </c>
      <c r="L34" s="17" t="s">
        <v>522</v>
      </c>
      <c r="M34" s="17" t="s">
        <v>368</v>
      </c>
      <c r="N34" s="17" t="s">
        <v>85</v>
      </c>
      <c r="O34" s="17" t="s">
        <v>294</v>
      </c>
      <c r="P34" s="17"/>
      <c r="Q34" s="18" t="str">
        <f t="shared" si="0"/>
        <v/>
      </c>
      <c r="R34" s="24"/>
      <c r="S34" s="19"/>
      <c r="T34" s="19" t="s">
        <v>369</v>
      </c>
      <c r="U34" s="19"/>
      <c r="V34" s="19"/>
      <c r="W34" s="18" t="str">
        <f t="shared" si="1"/>
        <v/>
      </c>
    </row>
    <row r="35" spans="1:23" x14ac:dyDescent="0.3">
      <c r="A35" s="17" t="s">
        <v>523</v>
      </c>
      <c r="B35" s="17" t="s">
        <v>148</v>
      </c>
      <c r="C35" s="17" t="s">
        <v>135</v>
      </c>
      <c r="D35" s="17" t="s">
        <v>149</v>
      </c>
      <c r="E35" s="17" t="s">
        <v>303</v>
      </c>
      <c r="F35" s="18" t="str">
        <f>IFERROR(INDEX('Checklist cover'!$F$5:$F$56,MATCH(B35,'Checklist cover'!$A$5:$A$56,0)),"")</f>
        <v>Nhóm 1</v>
      </c>
      <c r="G35" s="18" t="str">
        <f>IFERROR(VLOOKUP(F35,'Cấu hình'!$F$7:$G$9,2,FALSE()),"")</f>
        <v>Lâm Hoài An</v>
      </c>
      <c r="H35" s="17" t="s">
        <v>524</v>
      </c>
      <c r="I35" s="17" t="s">
        <v>451</v>
      </c>
      <c r="J35" s="17" t="s">
        <v>525</v>
      </c>
      <c r="K35" s="17" t="s">
        <v>526</v>
      </c>
      <c r="L35" s="17" t="s">
        <v>527</v>
      </c>
      <c r="M35" s="17" t="s">
        <v>376</v>
      </c>
      <c r="N35" s="17" t="s">
        <v>85</v>
      </c>
      <c r="O35" s="17" t="s">
        <v>329</v>
      </c>
      <c r="P35" s="17"/>
      <c r="Q35" s="18" t="str">
        <f t="shared" si="0"/>
        <v/>
      </c>
      <c r="R35" s="24"/>
      <c r="S35" s="19"/>
      <c r="T35" s="19" t="s">
        <v>369</v>
      </c>
      <c r="U35" s="19"/>
      <c r="V35" s="19"/>
      <c r="W35" s="18" t="str">
        <f t="shared" si="1"/>
        <v/>
      </c>
    </row>
    <row r="36" spans="1:23" ht="22.8" x14ac:dyDescent="0.3">
      <c r="A36" s="17" t="s">
        <v>528</v>
      </c>
      <c r="B36" s="17" t="s">
        <v>151</v>
      </c>
      <c r="C36" s="17" t="s">
        <v>135</v>
      </c>
      <c r="D36" s="17" t="s">
        <v>152</v>
      </c>
      <c r="E36" s="17" t="s">
        <v>303</v>
      </c>
      <c r="F36" s="18" t="str">
        <f>IFERROR(INDEX('Checklist cover'!$F$5:$F$56,MATCH(B36,'Checklist cover'!$A$5:$A$56,0)),"")</f>
        <v>Nhóm 1</v>
      </c>
      <c r="G36" s="18" t="str">
        <f>IFERROR(VLOOKUP(F36,'Cấu hình'!$F$7:$G$9,2,FALSE()),"")</f>
        <v>Lâm Hoài An</v>
      </c>
      <c r="H36" s="17" t="s">
        <v>529</v>
      </c>
      <c r="I36" s="17" t="s">
        <v>530</v>
      </c>
      <c r="J36" s="17" t="s">
        <v>531</v>
      </c>
      <c r="K36" s="17"/>
      <c r="L36" s="17" t="s">
        <v>532</v>
      </c>
      <c r="M36" s="17" t="s">
        <v>368</v>
      </c>
      <c r="N36" s="17" t="s">
        <v>85</v>
      </c>
      <c r="O36" s="17" t="s">
        <v>294</v>
      </c>
      <c r="P36" s="17"/>
      <c r="Q36" s="18" t="str">
        <f t="shared" si="0"/>
        <v/>
      </c>
      <c r="R36" s="24"/>
      <c r="S36" s="19"/>
      <c r="T36" s="19" t="s">
        <v>369</v>
      </c>
      <c r="U36" s="19"/>
      <c r="V36" s="19"/>
      <c r="W36" s="18" t="str">
        <f t="shared" si="1"/>
        <v/>
      </c>
    </row>
    <row r="37" spans="1:23" ht="22.8" x14ac:dyDescent="0.3">
      <c r="A37" s="17" t="s">
        <v>533</v>
      </c>
      <c r="B37" s="17" t="s">
        <v>151</v>
      </c>
      <c r="C37" s="17" t="s">
        <v>135</v>
      </c>
      <c r="D37" s="17" t="s">
        <v>152</v>
      </c>
      <c r="E37" s="17" t="s">
        <v>303</v>
      </c>
      <c r="F37" s="18" t="str">
        <f>IFERROR(INDEX('Checklist cover'!$F$5:$F$56,MATCH(B37,'Checklist cover'!$A$5:$A$56,0)),"")</f>
        <v>Nhóm 1</v>
      </c>
      <c r="G37" s="18" t="str">
        <f>IFERROR(VLOOKUP(F37,'Cấu hình'!$F$7:$G$9,2,FALSE()),"")</f>
        <v>Lâm Hoài An</v>
      </c>
      <c r="H37" s="17" t="s">
        <v>534</v>
      </c>
      <c r="I37" s="17" t="s">
        <v>530</v>
      </c>
      <c r="J37" s="17" t="s">
        <v>535</v>
      </c>
      <c r="K37" s="17"/>
      <c r="L37" s="17" t="s">
        <v>536</v>
      </c>
      <c r="M37" s="17" t="s">
        <v>368</v>
      </c>
      <c r="N37" s="17" t="s">
        <v>85</v>
      </c>
      <c r="O37" s="17" t="s">
        <v>294</v>
      </c>
      <c r="P37" s="17"/>
      <c r="Q37" s="18" t="str">
        <f t="shared" ref="Q37:Q68" si="2">IF(T37="Not Run","",G37)</f>
        <v/>
      </c>
      <c r="R37" s="24"/>
      <c r="S37" s="19"/>
      <c r="T37" s="19" t="s">
        <v>369</v>
      </c>
      <c r="U37" s="19"/>
      <c r="V37" s="19"/>
      <c r="W37" s="18" t="str">
        <f t="shared" ref="W37:W68" si="3">IF(AND(T37="Fail",U37=""),"⚠ Fail nhưng thiếu Bug ID",IF(AND(T37&lt;&gt;"Not Run",T37&lt;&gt;"",R37=""),"⚠ Thiếu ngày test",IF(AND(T37="Pass",S37=""),"⚠ Thiếu kết quả thực tế","")))</f>
        <v/>
      </c>
    </row>
    <row r="38" spans="1:23" ht="22.8" x14ac:dyDescent="0.3">
      <c r="A38" s="17" t="s">
        <v>537</v>
      </c>
      <c r="B38" s="17" t="s">
        <v>151</v>
      </c>
      <c r="C38" s="17" t="s">
        <v>135</v>
      </c>
      <c r="D38" s="17" t="s">
        <v>152</v>
      </c>
      <c r="E38" s="17" t="s">
        <v>303</v>
      </c>
      <c r="F38" s="18" t="str">
        <f>IFERROR(INDEX('Checklist cover'!$F$5:$F$56,MATCH(B38,'Checklist cover'!$A$5:$A$56,0)),"")</f>
        <v>Nhóm 1</v>
      </c>
      <c r="G38" s="18" t="str">
        <f>IFERROR(VLOOKUP(F38,'Cấu hình'!$F$7:$G$9,2,FALSE()),"")</f>
        <v>Lâm Hoài An</v>
      </c>
      <c r="H38" s="17" t="s">
        <v>538</v>
      </c>
      <c r="I38" s="17" t="s">
        <v>539</v>
      </c>
      <c r="J38" s="17" t="s">
        <v>540</v>
      </c>
      <c r="K38" s="17" t="s">
        <v>541</v>
      </c>
      <c r="L38" s="17" t="s">
        <v>542</v>
      </c>
      <c r="M38" s="17" t="s">
        <v>425</v>
      </c>
      <c r="N38" s="17" t="s">
        <v>402</v>
      </c>
      <c r="O38" s="17" t="s">
        <v>294</v>
      </c>
      <c r="P38" s="17"/>
      <c r="Q38" s="18" t="str">
        <f t="shared" si="2"/>
        <v/>
      </c>
      <c r="R38" s="24"/>
      <c r="S38" s="19"/>
      <c r="T38" s="19" t="s">
        <v>369</v>
      </c>
      <c r="U38" s="19"/>
      <c r="V38" s="19"/>
      <c r="W38" s="18" t="str">
        <f t="shared" si="3"/>
        <v/>
      </c>
    </row>
    <row r="39" spans="1:23" ht="22.8" x14ac:dyDescent="0.3">
      <c r="A39" s="17" t="s">
        <v>543</v>
      </c>
      <c r="B39" s="17" t="s">
        <v>154</v>
      </c>
      <c r="C39" s="17" t="s">
        <v>135</v>
      </c>
      <c r="D39" s="17" t="s">
        <v>155</v>
      </c>
      <c r="E39" s="17" t="s">
        <v>299</v>
      </c>
      <c r="F39" s="18" t="str">
        <f>IFERROR(INDEX('Checklist cover'!$F$5:$F$56,MATCH(B39,'Checklist cover'!$A$5:$A$56,0)),"")</f>
        <v>Nhóm 1</v>
      </c>
      <c r="G39" s="18" t="str">
        <f>IFERROR(VLOOKUP(F39,'Cấu hình'!$F$7:$G$9,2,FALSE()),"")</f>
        <v>Lâm Hoài An</v>
      </c>
      <c r="H39" s="17" t="s">
        <v>155</v>
      </c>
      <c r="I39" s="17" t="s">
        <v>451</v>
      </c>
      <c r="J39" s="17" t="s">
        <v>544</v>
      </c>
      <c r="K39" s="17"/>
      <c r="L39" s="17" t="s">
        <v>545</v>
      </c>
      <c r="M39" s="17" t="s">
        <v>368</v>
      </c>
      <c r="N39" s="17" t="s">
        <v>85</v>
      </c>
      <c r="O39" s="17" t="s">
        <v>329</v>
      </c>
      <c r="P39" s="17"/>
      <c r="Q39" s="18" t="str">
        <f t="shared" si="2"/>
        <v/>
      </c>
      <c r="R39" s="24"/>
      <c r="S39" s="19"/>
      <c r="T39" s="19" t="s">
        <v>369</v>
      </c>
      <c r="U39" s="19"/>
      <c r="V39" s="19"/>
      <c r="W39" s="18" t="str">
        <f t="shared" si="3"/>
        <v/>
      </c>
    </row>
    <row r="40" spans="1:23" ht="22.8" x14ac:dyDescent="0.3">
      <c r="A40" s="17" t="s">
        <v>546</v>
      </c>
      <c r="B40" s="17" t="s">
        <v>157</v>
      </c>
      <c r="C40" s="17" t="s">
        <v>158</v>
      </c>
      <c r="D40" s="17" t="s">
        <v>159</v>
      </c>
      <c r="E40" s="17" t="s">
        <v>308</v>
      </c>
      <c r="F40" s="18" t="str">
        <f>IFERROR(INDEX('Checklist cover'!$F$5:$F$56,MATCH(B40,'Checklist cover'!$A$5:$A$56,0)),"")</f>
        <v>Nhóm 1</v>
      </c>
      <c r="G40" s="18" t="str">
        <f>IFERROR(VLOOKUP(F40,'Cấu hình'!$F$7:$G$9,2,FALSE()),"")</f>
        <v>Lâm Hoài An</v>
      </c>
      <c r="H40" s="17" t="s">
        <v>547</v>
      </c>
      <c r="I40" s="17" t="s">
        <v>451</v>
      </c>
      <c r="J40" s="17" t="s">
        <v>548</v>
      </c>
      <c r="K40" s="17" t="s">
        <v>549</v>
      </c>
      <c r="L40" s="17" t="s">
        <v>550</v>
      </c>
      <c r="M40" s="17" t="s">
        <v>368</v>
      </c>
      <c r="N40" s="17" t="s">
        <v>85</v>
      </c>
      <c r="O40" s="17" t="s">
        <v>294</v>
      </c>
      <c r="P40" s="17" t="s">
        <v>551</v>
      </c>
      <c r="Q40" s="18" t="str">
        <f t="shared" si="2"/>
        <v/>
      </c>
      <c r="R40" s="24"/>
      <c r="S40" s="19"/>
      <c r="T40" s="19" t="s">
        <v>369</v>
      </c>
      <c r="U40" s="19"/>
      <c r="V40" s="19"/>
      <c r="W40" s="18" t="str">
        <f t="shared" si="3"/>
        <v/>
      </c>
    </row>
    <row r="41" spans="1:23" x14ac:dyDescent="0.3">
      <c r="A41" s="17" t="s">
        <v>552</v>
      </c>
      <c r="B41" s="17" t="s">
        <v>157</v>
      </c>
      <c r="C41" s="17" t="s">
        <v>158</v>
      </c>
      <c r="D41" s="17" t="s">
        <v>159</v>
      </c>
      <c r="E41" s="17" t="s">
        <v>308</v>
      </c>
      <c r="F41" s="18" t="str">
        <f>IFERROR(INDEX('Checklist cover'!$F$5:$F$56,MATCH(B41,'Checklist cover'!$A$5:$A$56,0)),"")</f>
        <v>Nhóm 1</v>
      </c>
      <c r="G41" s="18" t="str">
        <f>IFERROR(VLOOKUP(F41,'Cấu hình'!$F$7:$G$9,2,FALSE()),"")</f>
        <v>Lâm Hoài An</v>
      </c>
      <c r="H41" s="17" t="s">
        <v>553</v>
      </c>
      <c r="I41" s="17" t="s">
        <v>451</v>
      </c>
      <c r="J41" s="17" t="s">
        <v>554</v>
      </c>
      <c r="K41" s="17" t="s">
        <v>555</v>
      </c>
      <c r="L41" s="17" t="s">
        <v>556</v>
      </c>
      <c r="M41" s="17" t="s">
        <v>376</v>
      </c>
      <c r="N41" s="17" t="s">
        <v>85</v>
      </c>
      <c r="O41" s="17" t="s">
        <v>329</v>
      </c>
      <c r="P41" s="17"/>
      <c r="Q41" s="18" t="str">
        <f t="shared" si="2"/>
        <v/>
      </c>
      <c r="R41" s="24"/>
      <c r="S41" s="19"/>
      <c r="T41" s="19" t="s">
        <v>369</v>
      </c>
      <c r="U41" s="19"/>
      <c r="V41" s="19"/>
      <c r="W41" s="18" t="str">
        <f t="shared" si="3"/>
        <v/>
      </c>
    </row>
    <row r="42" spans="1:23" ht="22.8" x14ac:dyDescent="0.3">
      <c r="A42" s="17" t="s">
        <v>557</v>
      </c>
      <c r="B42" s="17" t="s">
        <v>162</v>
      </c>
      <c r="C42" s="17" t="s">
        <v>158</v>
      </c>
      <c r="D42" s="17" t="s">
        <v>163</v>
      </c>
      <c r="E42" s="17" t="s">
        <v>308</v>
      </c>
      <c r="F42" s="18" t="str">
        <f>IFERROR(INDEX('Checklist cover'!$F$5:$F$56,MATCH(B42,'Checklist cover'!$A$5:$A$56,0)),"")</f>
        <v>Nhóm 1</v>
      </c>
      <c r="G42" s="18" t="str">
        <f>IFERROR(VLOOKUP(F42,'Cấu hình'!$F$7:$G$9,2,FALSE()),"")</f>
        <v>Lâm Hoài An</v>
      </c>
      <c r="H42" s="17" t="s">
        <v>558</v>
      </c>
      <c r="I42" s="17" t="s">
        <v>559</v>
      </c>
      <c r="J42" s="17" t="s">
        <v>560</v>
      </c>
      <c r="K42" s="17"/>
      <c r="L42" s="17" t="s">
        <v>561</v>
      </c>
      <c r="M42" s="17" t="s">
        <v>368</v>
      </c>
      <c r="N42" s="17" t="s">
        <v>85</v>
      </c>
      <c r="O42" s="17" t="s">
        <v>329</v>
      </c>
      <c r="P42" s="17"/>
      <c r="Q42" s="18" t="str">
        <f t="shared" si="2"/>
        <v/>
      </c>
      <c r="R42" s="24"/>
      <c r="S42" s="19"/>
      <c r="T42" s="19" t="s">
        <v>369</v>
      </c>
      <c r="U42" s="19"/>
      <c r="V42" s="19"/>
      <c r="W42" s="18" t="str">
        <f t="shared" si="3"/>
        <v/>
      </c>
    </row>
    <row r="43" spans="1:23" ht="22.8" x14ac:dyDescent="0.3">
      <c r="A43" s="17" t="s">
        <v>562</v>
      </c>
      <c r="B43" s="17" t="s">
        <v>162</v>
      </c>
      <c r="C43" s="17" t="s">
        <v>158</v>
      </c>
      <c r="D43" s="17" t="s">
        <v>163</v>
      </c>
      <c r="E43" s="17" t="s">
        <v>308</v>
      </c>
      <c r="F43" s="18" t="str">
        <f>IFERROR(INDEX('Checklist cover'!$F$5:$F$56,MATCH(B43,'Checklist cover'!$A$5:$A$56,0)),"")</f>
        <v>Nhóm 1</v>
      </c>
      <c r="G43" s="18" t="str">
        <f>IFERROR(VLOOKUP(F43,'Cấu hình'!$F$7:$G$9,2,FALSE()),"")</f>
        <v>Lâm Hoài An</v>
      </c>
      <c r="H43" s="17" t="s">
        <v>563</v>
      </c>
      <c r="I43" s="17" t="s">
        <v>564</v>
      </c>
      <c r="J43" s="17" t="s">
        <v>565</v>
      </c>
      <c r="K43" s="17" t="s">
        <v>566</v>
      </c>
      <c r="L43" s="17" t="s">
        <v>527</v>
      </c>
      <c r="M43" s="17" t="s">
        <v>425</v>
      </c>
      <c r="N43" s="17" t="s">
        <v>402</v>
      </c>
      <c r="O43" s="17" t="s">
        <v>294</v>
      </c>
      <c r="P43" s="17"/>
      <c r="Q43" s="18" t="str">
        <f t="shared" si="2"/>
        <v/>
      </c>
      <c r="R43" s="24"/>
      <c r="S43" s="19"/>
      <c r="T43" s="19" t="s">
        <v>369</v>
      </c>
      <c r="U43" s="19"/>
      <c r="V43" s="19"/>
      <c r="W43" s="18" t="str">
        <f t="shared" si="3"/>
        <v/>
      </c>
    </row>
    <row r="44" spans="1:23" ht="22.8" x14ac:dyDescent="0.3">
      <c r="A44" s="17" t="s">
        <v>567</v>
      </c>
      <c r="B44" s="17" t="s">
        <v>165</v>
      </c>
      <c r="C44" s="17" t="s">
        <v>158</v>
      </c>
      <c r="D44" s="17" t="s">
        <v>166</v>
      </c>
      <c r="E44" s="17" t="s">
        <v>308</v>
      </c>
      <c r="F44" s="18" t="str">
        <f>IFERROR(INDEX('Checklist cover'!$F$5:$F$56,MATCH(B44,'Checklist cover'!$A$5:$A$56,0)),"")</f>
        <v>Nhóm 1</v>
      </c>
      <c r="G44" s="18" t="str">
        <f>IFERROR(VLOOKUP(F44,'Cấu hình'!$F$7:$G$9,2,FALSE()),"")</f>
        <v>Lâm Hoài An</v>
      </c>
      <c r="H44" s="17" t="s">
        <v>568</v>
      </c>
      <c r="I44" s="17" t="s">
        <v>559</v>
      </c>
      <c r="J44" s="17" t="s">
        <v>569</v>
      </c>
      <c r="K44" s="17"/>
      <c r="L44" s="17" t="s">
        <v>570</v>
      </c>
      <c r="M44" s="17" t="s">
        <v>368</v>
      </c>
      <c r="N44" s="17" t="s">
        <v>85</v>
      </c>
      <c r="O44" s="17" t="s">
        <v>329</v>
      </c>
      <c r="P44" s="17"/>
      <c r="Q44" s="18" t="str">
        <f t="shared" si="2"/>
        <v/>
      </c>
      <c r="R44" s="24"/>
      <c r="S44" s="19"/>
      <c r="T44" s="19" t="s">
        <v>369</v>
      </c>
      <c r="U44" s="19"/>
      <c r="V44" s="19"/>
      <c r="W44" s="18" t="str">
        <f t="shared" si="3"/>
        <v/>
      </c>
    </row>
    <row r="45" spans="1:23" ht="22.8" x14ac:dyDescent="0.3">
      <c r="A45" s="17" t="s">
        <v>571</v>
      </c>
      <c r="B45" s="17" t="s">
        <v>165</v>
      </c>
      <c r="C45" s="17" t="s">
        <v>158</v>
      </c>
      <c r="D45" s="17" t="s">
        <v>166</v>
      </c>
      <c r="E45" s="17" t="s">
        <v>308</v>
      </c>
      <c r="F45" s="18" t="str">
        <f>IFERROR(INDEX('Checklist cover'!$F$5:$F$56,MATCH(B45,'Checklist cover'!$A$5:$A$56,0)),"")</f>
        <v>Nhóm 1</v>
      </c>
      <c r="G45" s="18" t="str">
        <f>IFERROR(VLOOKUP(F45,'Cấu hình'!$F$7:$G$9,2,FALSE()),"")</f>
        <v>Lâm Hoài An</v>
      </c>
      <c r="H45" s="17" t="s">
        <v>572</v>
      </c>
      <c r="I45" s="17" t="s">
        <v>564</v>
      </c>
      <c r="J45" s="17" t="s">
        <v>573</v>
      </c>
      <c r="K45" s="17"/>
      <c r="L45" s="17" t="s">
        <v>527</v>
      </c>
      <c r="M45" s="17" t="s">
        <v>425</v>
      </c>
      <c r="N45" s="17" t="s">
        <v>402</v>
      </c>
      <c r="O45" s="17" t="s">
        <v>294</v>
      </c>
      <c r="P45" s="17"/>
      <c r="Q45" s="18" t="str">
        <f t="shared" si="2"/>
        <v/>
      </c>
      <c r="R45" s="24"/>
      <c r="S45" s="19"/>
      <c r="T45" s="19" t="s">
        <v>369</v>
      </c>
      <c r="U45" s="19"/>
      <c r="V45" s="19"/>
      <c r="W45" s="18" t="str">
        <f t="shared" si="3"/>
        <v/>
      </c>
    </row>
    <row r="46" spans="1:23" x14ac:dyDescent="0.3">
      <c r="A46" s="17" t="s">
        <v>574</v>
      </c>
      <c r="B46" s="17" t="s">
        <v>169</v>
      </c>
      <c r="C46" s="17" t="s">
        <v>158</v>
      </c>
      <c r="D46" s="17" t="s">
        <v>170</v>
      </c>
      <c r="E46" s="17" t="s">
        <v>308</v>
      </c>
      <c r="F46" s="18" t="str">
        <f>IFERROR(INDEX('Checklist cover'!$F$5:$F$56,MATCH(B46,'Checklist cover'!$A$5:$A$56,0)),"")</f>
        <v>Nhóm 1</v>
      </c>
      <c r="G46" s="18" t="str">
        <f>IFERROR(VLOOKUP(F46,'Cấu hình'!$F$7:$G$9,2,FALSE()),"")</f>
        <v>Lâm Hoài An</v>
      </c>
      <c r="H46" s="17" t="s">
        <v>575</v>
      </c>
      <c r="I46" s="17" t="s">
        <v>451</v>
      </c>
      <c r="J46" s="17" t="s">
        <v>576</v>
      </c>
      <c r="K46" s="17"/>
      <c r="L46" s="17" t="s">
        <v>577</v>
      </c>
      <c r="M46" s="17" t="s">
        <v>401</v>
      </c>
      <c r="N46" s="17" t="s">
        <v>85</v>
      </c>
      <c r="O46" s="17" t="s">
        <v>294</v>
      </c>
      <c r="P46" s="17"/>
      <c r="Q46" s="18" t="str">
        <f t="shared" si="2"/>
        <v/>
      </c>
      <c r="R46" s="24"/>
      <c r="S46" s="19"/>
      <c r="T46" s="19" t="s">
        <v>369</v>
      </c>
      <c r="U46" s="19"/>
      <c r="V46" s="19"/>
      <c r="W46" s="18" t="str">
        <f t="shared" si="3"/>
        <v/>
      </c>
    </row>
    <row r="47" spans="1:23" x14ac:dyDescent="0.3">
      <c r="A47" s="17" t="s">
        <v>578</v>
      </c>
      <c r="B47" s="17" t="s">
        <v>169</v>
      </c>
      <c r="C47" s="17" t="s">
        <v>158</v>
      </c>
      <c r="D47" s="17" t="s">
        <v>170</v>
      </c>
      <c r="E47" s="17" t="s">
        <v>308</v>
      </c>
      <c r="F47" s="18" t="str">
        <f>IFERROR(INDEX('Checklist cover'!$F$5:$F$56,MATCH(B47,'Checklist cover'!$A$5:$A$56,0)),"")</f>
        <v>Nhóm 1</v>
      </c>
      <c r="G47" s="18" t="str">
        <f>IFERROR(VLOOKUP(F47,'Cấu hình'!$F$7:$G$9,2,FALSE()),"")</f>
        <v>Lâm Hoài An</v>
      </c>
      <c r="H47" s="17" t="s">
        <v>579</v>
      </c>
      <c r="I47" s="17" t="s">
        <v>580</v>
      </c>
      <c r="J47" s="17" t="s">
        <v>581</v>
      </c>
      <c r="K47" s="17"/>
      <c r="L47" s="17" t="s">
        <v>582</v>
      </c>
      <c r="M47" s="17" t="s">
        <v>401</v>
      </c>
      <c r="N47" s="17" t="s">
        <v>85</v>
      </c>
      <c r="O47" s="17" t="s">
        <v>294</v>
      </c>
      <c r="P47" s="17"/>
      <c r="Q47" s="18" t="str">
        <f t="shared" si="2"/>
        <v/>
      </c>
      <c r="R47" s="24"/>
      <c r="S47" s="19"/>
      <c r="T47" s="19" t="s">
        <v>369</v>
      </c>
      <c r="U47" s="19"/>
      <c r="V47" s="19"/>
      <c r="W47" s="18" t="str">
        <f t="shared" si="3"/>
        <v/>
      </c>
    </row>
    <row r="48" spans="1:23" ht="22.8" x14ac:dyDescent="0.3">
      <c r="A48" s="17" t="s">
        <v>583</v>
      </c>
      <c r="B48" s="17" t="s">
        <v>172</v>
      </c>
      <c r="C48" s="17" t="s">
        <v>158</v>
      </c>
      <c r="D48" s="17" t="s">
        <v>173</v>
      </c>
      <c r="E48" s="17" t="s">
        <v>308</v>
      </c>
      <c r="F48" s="18" t="str">
        <f>IFERROR(INDEX('Checklist cover'!$F$5:$F$56,MATCH(B48,'Checklist cover'!$A$5:$A$56,0)),"")</f>
        <v>Nhóm 1</v>
      </c>
      <c r="G48" s="18" t="str">
        <f>IFERROR(VLOOKUP(F48,'Cấu hình'!$F$7:$G$9,2,FALSE()),"")</f>
        <v>Lâm Hoài An</v>
      </c>
      <c r="H48" s="17" t="s">
        <v>584</v>
      </c>
      <c r="I48" s="17" t="s">
        <v>456</v>
      </c>
      <c r="J48" s="17" t="s">
        <v>585</v>
      </c>
      <c r="K48" s="17" t="s">
        <v>586</v>
      </c>
      <c r="L48" s="17" t="s">
        <v>587</v>
      </c>
      <c r="M48" s="17" t="s">
        <v>401</v>
      </c>
      <c r="N48" s="17" t="s">
        <v>85</v>
      </c>
      <c r="O48" s="17" t="s">
        <v>294</v>
      </c>
      <c r="P48" s="17"/>
      <c r="Q48" s="18" t="str">
        <f t="shared" si="2"/>
        <v/>
      </c>
      <c r="R48" s="24"/>
      <c r="S48" s="19"/>
      <c r="T48" s="19" t="s">
        <v>369</v>
      </c>
      <c r="U48" s="19"/>
      <c r="V48" s="19"/>
      <c r="W48" s="18" t="str">
        <f t="shared" si="3"/>
        <v/>
      </c>
    </row>
    <row r="49" spans="1:23" x14ac:dyDescent="0.3">
      <c r="A49" s="17" t="s">
        <v>588</v>
      </c>
      <c r="B49" s="17" t="s">
        <v>172</v>
      </c>
      <c r="C49" s="17" t="s">
        <v>158</v>
      </c>
      <c r="D49" s="17" t="s">
        <v>173</v>
      </c>
      <c r="E49" s="17" t="s">
        <v>308</v>
      </c>
      <c r="F49" s="18" t="str">
        <f>IFERROR(INDEX('Checklist cover'!$F$5:$F$56,MATCH(B49,'Checklist cover'!$A$5:$A$56,0)),"")</f>
        <v>Nhóm 1</v>
      </c>
      <c r="G49" s="18" t="str">
        <f>IFERROR(VLOOKUP(F49,'Cấu hình'!$F$7:$G$9,2,FALSE()),"")</f>
        <v>Lâm Hoài An</v>
      </c>
      <c r="H49" s="17" t="s">
        <v>589</v>
      </c>
      <c r="I49" s="17" t="s">
        <v>451</v>
      </c>
      <c r="J49" s="17" t="s">
        <v>590</v>
      </c>
      <c r="K49" s="17"/>
      <c r="L49" s="17" t="s">
        <v>527</v>
      </c>
      <c r="M49" s="17" t="s">
        <v>401</v>
      </c>
      <c r="N49" s="17" t="s">
        <v>443</v>
      </c>
      <c r="O49" s="17" t="s">
        <v>294</v>
      </c>
      <c r="P49" s="17"/>
      <c r="Q49" s="18" t="str">
        <f t="shared" si="2"/>
        <v/>
      </c>
      <c r="R49" s="24"/>
      <c r="S49" s="19"/>
      <c r="T49" s="19" t="s">
        <v>369</v>
      </c>
      <c r="U49" s="19"/>
      <c r="V49" s="19"/>
      <c r="W49" s="18" t="str">
        <f t="shared" si="3"/>
        <v/>
      </c>
    </row>
    <row r="50" spans="1:23" x14ac:dyDescent="0.3">
      <c r="A50" s="17" t="s">
        <v>591</v>
      </c>
      <c r="B50" s="17" t="s">
        <v>172</v>
      </c>
      <c r="C50" s="17" t="s">
        <v>158</v>
      </c>
      <c r="D50" s="17" t="s">
        <v>173</v>
      </c>
      <c r="E50" s="17" t="s">
        <v>308</v>
      </c>
      <c r="F50" s="18" t="str">
        <f>IFERROR(INDEX('Checklist cover'!$F$5:$F$56,MATCH(B50,'Checklist cover'!$A$5:$A$56,0)),"")</f>
        <v>Nhóm 1</v>
      </c>
      <c r="G50" s="18" t="str">
        <f>IFERROR(VLOOKUP(F50,'Cấu hình'!$F$7:$G$9,2,FALSE()),"")</f>
        <v>Lâm Hoài An</v>
      </c>
      <c r="H50" s="17" t="s">
        <v>592</v>
      </c>
      <c r="I50" s="17" t="s">
        <v>456</v>
      </c>
      <c r="J50" s="17" t="s">
        <v>593</v>
      </c>
      <c r="K50" s="17" t="s">
        <v>594</v>
      </c>
      <c r="L50" s="17" t="s">
        <v>595</v>
      </c>
      <c r="M50" s="17" t="s">
        <v>401</v>
      </c>
      <c r="N50" s="17" t="s">
        <v>402</v>
      </c>
      <c r="O50" s="17" t="s">
        <v>294</v>
      </c>
      <c r="P50" s="17"/>
      <c r="Q50" s="18" t="str">
        <f t="shared" si="2"/>
        <v/>
      </c>
      <c r="R50" s="24"/>
      <c r="S50" s="19"/>
      <c r="T50" s="19" t="s">
        <v>369</v>
      </c>
      <c r="U50" s="19"/>
      <c r="V50" s="19"/>
      <c r="W50" s="18" t="str">
        <f t="shared" si="3"/>
        <v/>
      </c>
    </row>
    <row r="51" spans="1:23" ht="22.8" x14ac:dyDescent="0.3">
      <c r="A51" s="17" t="s">
        <v>596</v>
      </c>
      <c r="B51" s="17" t="s">
        <v>175</v>
      </c>
      <c r="C51" s="17" t="s">
        <v>158</v>
      </c>
      <c r="D51" s="17" t="s">
        <v>176</v>
      </c>
      <c r="E51" s="17" t="s">
        <v>308</v>
      </c>
      <c r="F51" s="18" t="str">
        <f>IFERROR(INDEX('Checklist cover'!$F$5:$F$56,MATCH(B51,'Checklist cover'!$A$5:$A$56,0)),"")</f>
        <v>Nhóm 1</v>
      </c>
      <c r="G51" s="18" t="str">
        <f>IFERROR(VLOOKUP(F51,'Cấu hình'!$F$7:$G$9,2,FALSE()),"")</f>
        <v>Lâm Hoài An</v>
      </c>
      <c r="H51" s="17" t="s">
        <v>597</v>
      </c>
      <c r="I51" s="17"/>
      <c r="J51" s="17" t="s">
        <v>598</v>
      </c>
      <c r="K51" s="17" t="s">
        <v>599</v>
      </c>
      <c r="L51" s="17" t="s">
        <v>600</v>
      </c>
      <c r="M51" s="17" t="s">
        <v>425</v>
      </c>
      <c r="N51" s="17" t="s">
        <v>402</v>
      </c>
      <c r="O51" s="17" t="s">
        <v>294</v>
      </c>
      <c r="P51" s="17"/>
      <c r="Q51" s="18" t="str">
        <f t="shared" si="2"/>
        <v/>
      </c>
      <c r="R51" s="24"/>
      <c r="S51" s="19"/>
      <c r="T51" s="19" t="s">
        <v>369</v>
      </c>
      <c r="U51" s="19"/>
      <c r="V51" s="19"/>
      <c r="W51" s="18" t="str">
        <f t="shared" si="3"/>
        <v/>
      </c>
    </row>
    <row r="52" spans="1:23" ht="22.8" x14ac:dyDescent="0.3">
      <c r="A52" s="17" t="s">
        <v>601</v>
      </c>
      <c r="B52" s="17" t="s">
        <v>175</v>
      </c>
      <c r="C52" s="17" t="s">
        <v>158</v>
      </c>
      <c r="D52" s="17" t="s">
        <v>176</v>
      </c>
      <c r="E52" s="17" t="s">
        <v>308</v>
      </c>
      <c r="F52" s="18" t="str">
        <f>IFERROR(INDEX('Checklist cover'!$F$5:$F$56,MATCH(B52,'Checklist cover'!$A$5:$A$56,0)),"")</f>
        <v>Nhóm 1</v>
      </c>
      <c r="G52" s="18" t="str">
        <f>IFERROR(VLOOKUP(F52,'Cấu hình'!$F$7:$G$9,2,FALSE()),"")</f>
        <v>Lâm Hoài An</v>
      </c>
      <c r="H52" s="17" t="s">
        <v>602</v>
      </c>
      <c r="I52" s="17"/>
      <c r="J52" s="17" t="s">
        <v>603</v>
      </c>
      <c r="K52" s="17"/>
      <c r="L52" s="17" t="s">
        <v>604</v>
      </c>
      <c r="M52" s="17" t="s">
        <v>368</v>
      </c>
      <c r="N52" s="17" t="s">
        <v>85</v>
      </c>
      <c r="O52" s="17" t="s">
        <v>409</v>
      </c>
      <c r="P52" s="17"/>
      <c r="Q52" s="18" t="str">
        <f t="shared" si="2"/>
        <v/>
      </c>
      <c r="R52" s="24"/>
      <c r="S52" s="19"/>
      <c r="T52" s="19" t="s">
        <v>369</v>
      </c>
      <c r="U52" s="19"/>
      <c r="V52" s="19"/>
      <c r="W52" s="18" t="str">
        <f t="shared" si="3"/>
        <v/>
      </c>
    </row>
    <row r="53" spans="1:23" ht="22.8" x14ac:dyDescent="0.3">
      <c r="A53" s="17" t="s">
        <v>605</v>
      </c>
      <c r="B53" s="17" t="s">
        <v>178</v>
      </c>
      <c r="C53" s="17" t="s">
        <v>179</v>
      </c>
      <c r="D53" s="17" t="s">
        <v>180</v>
      </c>
      <c r="E53" s="17" t="s">
        <v>313</v>
      </c>
      <c r="F53" s="18" t="str">
        <f>IFERROR(INDEX('Checklist cover'!$F$5:$F$56,MATCH(B53,'Checklist cover'!$A$5:$A$56,0)),"")</f>
        <v>Nhóm 2</v>
      </c>
      <c r="G53" s="18" t="str">
        <f>IFERROR(VLOOKUP(F53,'Cấu hình'!$F$7:$G$9,2,FALSE()),"")</f>
        <v>Nguyễn Phúc Khang</v>
      </c>
      <c r="H53" s="17" t="s">
        <v>606</v>
      </c>
      <c r="I53" s="17" t="s">
        <v>451</v>
      </c>
      <c r="J53" s="17" t="s">
        <v>607</v>
      </c>
      <c r="K53" s="17" t="s">
        <v>608</v>
      </c>
      <c r="L53" s="17" t="s">
        <v>609</v>
      </c>
      <c r="M53" s="17" t="s">
        <v>368</v>
      </c>
      <c r="N53" s="17" t="s">
        <v>85</v>
      </c>
      <c r="O53" s="17" t="s">
        <v>294</v>
      </c>
      <c r="P53" s="17"/>
      <c r="Q53" s="18" t="str">
        <f t="shared" si="2"/>
        <v/>
      </c>
      <c r="R53" s="24"/>
      <c r="S53" s="19"/>
      <c r="T53" s="19" t="s">
        <v>369</v>
      </c>
      <c r="U53" s="19"/>
      <c r="V53" s="19"/>
      <c r="W53" s="18" t="str">
        <f t="shared" si="3"/>
        <v/>
      </c>
    </row>
    <row r="54" spans="1:23" ht="22.8" x14ac:dyDescent="0.3">
      <c r="A54" s="17" t="s">
        <v>610</v>
      </c>
      <c r="B54" s="17" t="s">
        <v>178</v>
      </c>
      <c r="C54" s="17" t="s">
        <v>179</v>
      </c>
      <c r="D54" s="17" t="s">
        <v>180</v>
      </c>
      <c r="E54" s="17" t="s">
        <v>313</v>
      </c>
      <c r="F54" s="18" t="str">
        <f>IFERROR(INDEX('Checklist cover'!$F$5:$F$56,MATCH(B54,'Checklist cover'!$A$5:$A$56,0)),"")</f>
        <v>Nhóm 2</v>
      </c>
      <c r="G54" s="18" t="str">
        <f>IFERROR(VLOOKUP(F54,'Cấu hình'!$F$7:$G$9,2,FALSE()),"")</f>
        <v>Nguyễn Phúc Khang</v>
      </c>
      <c r="H54" s="17" t="s">
        <v>611</v>
      </c>
      <c r="I54" s="17" t="s">
        <v>451</v>
      </c>
      <c r="J54" s="17" t="s">
        <v>612</v>
      </c>
      <c r="K54" s="17" t="s">
        <v>555</v>
      </c>
      <c r="L54" s="17" t="s">
        <v>613</v>
      </c>
      <c r="M54" s="17" t="s">
        <v>368</v>
      </c>
      <c r="N54" s="17" t="s">
        <v>85</v>
      </c>
      <c r="O54" s="17" t="s">
        <v>294</v>
      </c>
      <c r="P54" s="17"/>
      <c r="Q54" s="18" t="str">
        <f t="shared" si="2"/>
        <v/>
      </c>
      <c r="R54" s="24"/>
      <c r="S54" s="19"/>
      <c r="T54" s="19" t="s">
        <v>369</v>
      </c>
      <c r="U54" s="19"/>
      <c r="V54" s="19"/>
      <c r="W54" s="18" t="str">
        <f t="shared" si="3"/>
        <v/>
      </c>
    </row>
    <row r="55" spans="1:23" x14ac:dyDescent="0.3">
      <c r="A55" s="17" t="s">
        <v>614</v>
      </c>
      <c r="B55" s="17" t="s">
        <v>178</v>
      </c>
      <c r="C55" s="17" t="s">
        <v>179</v>
      </c>
      <c r="D55" s="17" t="s">
        <v>180</v>
      </c>
      <c r="E55" s="17" t="s">
        <v>313</v>
      </c>
      <c r="F55" s="18" t="str">
        <f>IFERROR(INDEX('Checklist cover'!$F$5:$F$56,MATCH(B55,'Checklist cover'!$A$5:$A$56,0)),"")</f>
        <v>Nhóm 2</v>
      </c>
      <c r="G55" s="18" t="str">
        <f>IFERROR(VLOOKUP(F55,'Cấu hình'!$F$7:$G$9,2,FALSE()),"")</f>
        <v>Nguyễn Phúc Khang</v>
      </c>
      <c r="H55" s="17" t="s">
        <v>615</v>
      </c>
      <c r="I55" s="17" t="s">
        <v>451</v>
      </c>
      <c r="J55" s="17" t="s">
        <v>616</v>
      </c>
      <c r="K55" s="17" t="s">
        <v>617</v>
      </c>
      <c r="L55" s="17" t="s">
        <v>618</v>
      </c>
      <c r="M55" s="17" t="s">
        <v>382</v>
      </c>
      <c r="N55" s="17" t="s">
        <v>383</v>
      </c>
      <c r="O55" s="17" t="s">
        <v>294</v>
      </c>
      <c r="P55" s="17"/>
      <c r="Q55" s="18" t="str">
        <f t="shared" si="2"/>
        <v/>
      </c>
      <c r="R55" s="24"/>
      <c r="S55" s="19"/>
      <c r="T55" s="19" t="s">
        <v>369</v>
      </c>
      <c r="U55" s="19"/>
      <c r="V55" s="19"/>
      <c r="W55" s="18" t="str">
        <f t="shared" si="3"/>
        <v/>
      </c>
    </row>
    <row r="56" spans="1:23" x14ac:dyDescent="0.3">
      <c r="A56" s="17" t="s">
        <v>619</v>
      </c>
      <c r="B56" s="17" t="s">
        <v>183</v>
      </c>
      <c r="C56" s="17" t="s">
        <v>179</v>
      </c>
      <c r="D56" s="17" t="s">
        <v>184</v>
      </c>
      <c r="E56" s="17" t="s">
        <v>313</v>
      </c>
      <c r="F56" s="18" t="str">
        <f>IFERROR(INDEX('Checklist cover'!$F$5:$F$56,MATCH(B56,'Checklist cover'!$A$5:$A$56,0)),"")</f>
        <v>Nhóm 2</v>
      </c>
      <c r="G56" s="18" t="str">
        <f>IFERROR(VLOOKUP(F56,'Cấu hình'!$F$7:$G$9,2,FALSE()),"")</f>
        <v>Nguyễn Phúc Khang</v>
      </c>
      <c r="H56" s="17" t="s">
        <v>620</v>
      </c>
      <c r="I56" s="17" t="s">
        <v>621</v>
      </c>
      <c r="J56" s="17" t="s">
        <v>622</v>
      </c>
      <c r="K56" s="17"/>
      <c r="L56" s="17" t="s">
        <v>623</v>
      </c>
      <c r="M56" s="17" t="s">
        <v>442</v>
      </c>
      <c r="N56" s="17" t="s">
        <v>85</v>
      </c>
      <c r="O56" s="17" t="s">
        <v>294</v>
      </c>
      <c r="P56" s="17"/>
      <c r="Q56" s="18" t="str">
        <f t="shared" si="2"/>
        <v/>
      </c>
      <c r="R56" s="24"/>
      <c r="S56" s="19"/>
      <c r="T56" s="19" t="s">
        <v>369</v>
      </c>
      <c r="U56" s="19"/>
      <c r="V56" s="19"/>
      <c r="W56" s="18" t="str">
        <f t="shared" si="3"/>
        <v/>
      </c>
    </row>
    <row r="57" spans="1:23" x14ac:dyDescent="0.3">
      <c r="A57" s="17" t="s">
        <v>624</v>
      </c>
      <c r="B57" s="17" t="s">
        <v>183</v>
      </c>
      <c r="C57" s="17" t="s">
        <v>179</v>
      </c>
      <c r="D57" s="17" t="s">
        <v>184</v>
      </c>
      <c r="E57" s="17" t="s">
        <v>313</v>
      </c>
      <c r="F57" s="18" t="str">
        <f>IFERROR(INDEX('Checklist cover'!$F$5:$F$56,MATCH(B57,'Checklist cover'!$A$5:$A$56,0)),"")</f>
        <v>Nhóm 2</v>
      </c>
      <c r="G57" s="18" t="str">
        <f>IFERROR(VLOOKUP(F57,'Cấu hình'!$F$7:$G$9,2,FALSE()),"")</f>
        <v>Nguyễn Phúc Khang</v>
      </c>
      <c r="H57" s="17" t="s">
        <v>625</v>
      </c>
      <c r="I57" s="17" t="s">
        <v>626</v>
      </c>
      <c r="J57" s="17" t="s">
        <v>627</v>
      </c>
      <c r="K57" s="17"/>
      <c r="L57" s="17" t="s">
        <v>628</v>
      </c>
      <c r="M57" s="17" t="s">
        <v>442</v>
      </c>
      <c r="N57" s="17" t="s">
        <v>85</v>
      </c>
      <c r="O57" s="17" t="s">
        <v>294</v>
      </c>
      <c r="P57" s="17"/>
      <c r="Q57" s="18" t="str">
        <f t="shared" si="2"/>
        <v/>
      </c>
      <c r="R57" s="24"/>
      <c r="S57" s="19"/>
      <c r="T57" s="19" t="s">
        <v>369</v>
      </c>
      <c r="U57" s="19"/>
      <c r="V57" s="19"/>
      <c r="W57" s="18" t="str">
        <f t="shared" si="3"/>
        <v/>
      </c>
    </row>
    <row r="58" spans="1:23" ht="22.8" x14ac:dyDescent="0.3">
      <c r="A58" s="17" t="s">
        <v>629</v>
      </c>
      <c r="B58" s="17" t="s">
        <v>186</v>
      </c>
      <c r="C58" s="17" t="s">
        <v>179</v>
      </c>
      <c r="D58" s="17" t="s">
        <v>187</v>
      </c>
      <c r="E58" s="17" t="s">
        <v>313</v>
      </c>
      <c r="F58" s="18" t="str">
        <f>IFERROR(INDEX('Checklist cover'!$F$5:$F$56,MATCH(B58,'Checklist cover'!$A$5:$A$56,0)),"")</f>
        <v>Nhóm 2</v>
      </c>
      <c r="G58" s="18" t="str">
        <f>IFERROR(VLOOKUP(F58,'Cấu hình'!$F$7:$G$9,2,FALSE()),"")</f>
        <v>Nguyễn Phúc Khang</v>
      </c>
      <c r="H58" s="17" t="s">
        <v>187</v>
      </c>
      <c r="I58" s="17" t="s">
        <v>630</v>
      </c>
      <c r="J58" s="17" t="s">
        <v>631</v>
      </c>
      <c r="K58" s="17"/>
      <c r="L58" s="17" t="s">
        <v>632</v>
      </c>
      <c r="M58" s="17" t="s">
        <v>401</v>
      </c>
      <c r="N58" s="17" t="s">
        <v>85</v>
      </c>
      <c r="O58" s="17" t="s">
        <v>294</v>
      </c>
      <c r="P58" s="17"/>
      <c r="Q58" s="18" t="str">
        <f t="shared" si="2"/>
        <v/>
      </c>
      <c r="R58" s="24"/>
      <c r="S58" s="19"/>
      <c r="T58" s="19" t="s">
        <v>369</v>
      </c>
      <c r="U58" s="19"/>
      <c r="V58" s="19"/>
      <c r="W58" s="18" t="str">
        <f t="shared" si="3"/>
        <v/>
      </c>
    </row>
    <row r="59" spans="1:23" ht="22.8" x14ac:dyDescent="0.3">
      <c r="A59" s="17" t="s">
        <v>633</v>
      </c>
      <c r="B59" s="17" t="s">
        <v>186</v>
      </c>
      <c r="C59" s="17" t="s">
        <v>179</v>
      </c>
      <c r="D59" s="17" t="s">
        <v>187</v>
      </c>
      <c r="E59" s="17" t="s">
        <v>313</v>
      </c>
      <c r="F59" s="18" t="str">
        <f>IFERROR(INDEX('Checklist cover'!$F$5:$F$56,MATCH(B59,'Checklist cover'!$A$5:$A$56,0)),"")</f>
        <v>Nhóm 2</v>
      </c>
      <c r="G59" s="18" t="str">
        <f>IFERROR(VLOOKUP(F59,'Cấu hình'!$F$7:$G$9,2,FALSE()),"")</f>
        <v>Nguyễn Phúc Khang</v>
      </c>
      <c r="H59" s="17" t="s">
        <v>634</v>
      </c>
      <c r="I59" s="17" t="s">
        <v>564</v>
      </c>
      <c r="J59" s="17" t="s">
        <v>635</v>
      </c>
      <c r="K59" s="17"/>
      <c r="L59" s="17" t="s">
        <v>527</v>
      </c>
      <c r="M59" s="17" t="s">
        <v>401</v>
      </c>
      <c r="N59" s="17" t="s">
        <v>402</v>
      </c>
      <c r="O59" s="17" t="s">
        <v>294</v>
      </c>
      <c r="P59" s="17"/>
      <c r="Q59" s="18" t="str">
        <f t="shared" si="2"/>
        <v/>
      </c>
      <c r="R59" s="24"/>
      <c r="S59" s="19"/>
      <c r="T59" s="19" t="s">
        <v>369</v>
      </c>
      <c r="U59" s="19"/>
      <c r="V59" s="19"/>
      <c r="W59" s="18" t="str">
        <f t="shared" si="3"/>
        <v/>
      </c>
    </row>
    <row r="60" spans="1:23" ht="22.8" x14ac:dyDescent="0.3">
      <c r="A60" s="17" t="s">
        <v>636</v>
      </c>
      <c r="B60" s="17" t="s">
        <v>189</v>
      </c>
      <c r="C60" s="17" t="s">
        <v>179</v>
      </c>
      <c r="D60" s="17" t="s">
        <v>190</v>
      </c>
      <c r="E60" s="17" t="s">
        <v>313</v>
      </c>
      <c r="F60" s="18" t="str">
        <f>IFERROR(INDEX('Checklist cover'!$F$5:$F$56,MATCH(B60,'Checklist cover'!$A$5:$A$56,0)),"")</f>
        <v>Nhóm 2</v>
      </c>
      <c r="G60" s="18" t="str">
        <f>IFERROR(VLOOKUP(F60,'Cấu hình'!$F$7:$G$9,2,FALSE()),"")</f>
        <v>Nguyễn Phúc Khang</v>
      </c>
      <c r="H60" s="17" t="s">
        <v>637</v>
      </c>
      <c r="I60" s="17" t="s">
        <v>99</v>
      </c>
      <c r="J60" s="17" t="s">
        <v>638</v>
      </c>
      <c r="K60" s="17" t="s">
        <v>639</v>
      </c>
      <c r="L60" s="17" t="s">
        <v>640</v>
      </c>
      <c r="M60" s="17" t="s">
        <v>368</v>
      </c>
      <c r="N60" s="17" t="s">
        <v>85</v>
      </c>
      <c r="O60" s="17" t="s">
        <v>329</v>
      </c>
      <c r="P60" s="17"/>
      <c r="Q60" s="18" t="str">
        <f t="shared" si="2"/>
        <v/>
      </c>
      <c r="R60" s="24"/>
      <c r="S60" s="19"/>
      <c r="T60" s="19" t="s">
        <v>369</v>
      </c>
      <c r="U60" s="19"/>
      <c r="V60" s="19"/>
      <c r="W60" s="18" t="str">
        <f t="shared" si="3"/>
        <v/>
      </c>
    </row>
    <row r="61" spans="1:23" ht="22.8" x14ac:dyDescent="0.3">
      <c r="A61" s="17" t="s">
        <v>641</v>
      </c>
      <c r="B61" s="17" t="s">
        <v>189</v>
      </c>
      <c r="C61" s="17" t="s">
        <v>179</v>
      </c>
      <c r="D61" s="17" t="s">
        <v>190</v>
      </c>
      <c r="E61" s="17" t="s">
        <v>313</v>
      </c>
      <c r="F61" s="18" t="str">
        <f>IFERROR(INDEX('Checklist cover'!$F$5:$F$56,MATCH(B61,'Checklist cover'!$A$5:$A$56,0)),"")</f>
        <v>Nhóm 2</v>
      </c>
      <c r="G61" s="18" t="str">
        <f>IFERROR(VLOOKUP(F61,'Cấu hình'!$F$7:$G$9,2,FALSE()),"")</f>
        <v>Nguyễn Phúc Khang</v>
      </c>
      <c r="H61" s="17" t="s">
        <v>642</v>
      </c>
      <c r="I61" s="17" t="s">
        <v>99</v>
      </c>
      <c r="J61" s="17" t="s">
        <v>643</v>
      </c>
      <c r="K61" s="17" t="s">
        <v>594</v>
      </c>
      <c r="L61" s="17" t="s">
        <v>644</v>
      </c>
      <c r="M61" s="17" t="s">
        <v>425</v>
      </c>
      <c r="N61" s="17" t="s">
        <v>402</v>
      </c>
      <c r="O61" s="17" t="s">
        <v>329</v>
      </c>
      <c r="P61" s="17"/>
      <c r="Q61" s="18" t="str">
        <f t="shared" si="2"/>
        <v/>
      </c>
      <c r="R61" s="24"/>
      <c r="S61" s="19"/>
      <c r="T61" s="19" t="s">
        <v>369</v>
      </c>
      <c r="U61" s="19"/>
      <c r="V61" s="19"/>
      <c r="W61" s="18" t="str">
        <f t="shared" si="3"/>
        <v/>
      </c>
    </row>
    <row r="62" spans="1:23" ht="22.8" x14ac:dyDescent="0.3">
      <c r="A62" s="17" t="s">
        <v>645</v>
      </c>
      <c r="B62" s="17" t="s">
        <v>192</v>
      </c>
      <c r="C62" s="17" t="s">
        <v>179</v>
      </c>
      <c r="D62" s="17" t="s">
        <v>193</v>
      </c>
      <c r="E62" s="17" t="s">
        <v>313</v>
      </c>
      <c r="F62" s="18" t="str">
        <f>IFERROR(INDEX('Checklist cover'!$F$5:$F$56,MATCH(B62,'Checklist cover'!$A$5:$A$56,0)),"")</f>
        <v>Nhóm 2</v>
      </c>
      <c r="G62" s="18" t="str">
        <f>IFERROR(VLOOKUP(F62,'Cấu hình'!$F$7:$G$9,2,FALSE()),"")</f>
        <v>Nguyễn Phúc Khang</v>
      </c>
      <c r="H62" s="17" t="s">
        <v>646</v>
      </c>
      <c r="I62" s="17" t="s">
        <v>564</v>
      </c>
      <c r="J62" s="17" t="s">
        <v>647</v>
      </c>
      <c r="K62" s="17"/>
      <c r="L62" s="17" t="s">
        <v>648</v>
      </c>
      <c r="M62" s="17" t="s">
        <v>425</v>
      </c>
      <c r="N62" s="17" t="s">
        <v>443</v>
      </c>
      <c r="O62" s="17" t="s">
        <v>294</v>
      </c>
      <c r="P62" s="17"/>
      <c r="Q62" s="18" t="str">
        <f t="shared" si="2"/>
        <v/>
      </c>
      <c r="R62" s="24"/>
      <c r="S62" s="19"/>
      <c r="T62" s="19" t="s">
        <v>369</v>
      </c>
      <c r="U62" s="19"/>
      <c r="V62" s="19"/>
      <c r="W62" s="18" t="str">
        <f t="shared" si="3"/>
        <v/>
      </c>
    </row>
    <row r="63" spans="1:23" x14ac:dyDescent="0.3">
      <c r="A63" s="17" t="s">
        <v>649</v>
      </c>
      <c r="B63" s="17" t="s">
        <v>195</v>
      </c>
      <c r="C63" s="17" t="s">
        <v>196</v>
      </c>
      <c r="D63" s="17" t="s">
        <v>197</v>
      </c>
      <c r="E63" s="17" t="s">
        <v>317</v>
      </c>
      <c r="F63" s="18" t="str">
        <f>IFERROR(INDEX('Checklist cover'!$F$5:$F$56,MATCH(B63,'Checklist cover'!$A$5:$A$56,0)),"")</f>
        <v>Nhóm 2</v>
      </c>
      <c r="G63" s="18" t="str">
        <f>IFERROR(VLOOKUP(F63,'Cấu hình'!$F$7:$G$9,2,FALSE()),"")</f>
        <v>Nguyễn Phúc Khang</v>
      </c>
      <c r="H63" s="17" t="s">
        <v>650</v>
      </c>
      <c r="I63" s="17" t="s">
        <v>451</v>
      </c>
      <c r="J63" s="17" t="s">
        <v>651</v>
      </c>
      <c r="K63" s="17"/>
      <c r="L63" s="17" t="s">
        <v>652</v>
      </c>
      <c r="M63" s="17" t="s">
        <v>442</v>
      </c>
      <c r="N63" s="17" t="s">
        <v>85</v>
      </c>
      <c r="O63" s="17" t="s">
        <v>294</v>
      </c>
      <c r="P63" s="17"/>
      <c r="Q63" s="18" t="str">
        <f t="shared" si="2"/>
        <v/>
      </c>
      <c r="R63" s="24"/>
      <c r="S63" s="19"/>
      <c r="T63" s="19" t="s">
        <v>369</v>
      </c>
      <c r="U63" s="19"/>
      <c r="V63" s="19"/>
      <c r="W63" s="18" t="str">
        <f t="shared" si="3"/>
        <v/>
      </c>
    </row>
    <row r="64" spans="1:23" x14ac:dyDescent="0.3">
      <c r="A64" s="17" t="s">
        <v>653</v>
      </c>
      <c r="B64" s="17" t="s">
        <v>195</v>
      </c>
      <c r="C64" s="17" t="s">
        <v>196</v>
      </c>
      <c r="D64" s="17" t="s">
        <v>197</v>
      </c>
      <c r="E64" s="17" t="s">
        <v>317</v>
      </c>
      <c r="F64" s="18" t="str">
        <f>IFERROR(INDEX('Checklist cover'!$F$5:$F$56,MATCH(B64,'Checklist cover'!$A$5:$A$56,0)),"")</f>
        <v>Nhóm 2</v>
      </c>
      <c r="G64" s="18" t="str">
        <f>IFERROR(VLOOKUP(F64,'Cấu hình'!$F$7:$G$9,2,FALSE()),"")</f>
        <v>Nguyễn Phúc Khang</v>
      </c>
      <c r="H64" s="17" t="s">
        <v>654</v>
      </c>
      <c r="I64" s="17" t="s">
        <v>655</v>
      </c>
      <c r="J64" s="17" t="s">
        <v>656</v>
      </c>
      <c r="K64" s="17"/>
      <c r="L64" s="17" t="s">
        <v>657</v>
      </c>
      <c r="M64" s="17" t="s">
        <v>442</v>
      </c>
      <c r="N64" s="17" t="s">
        <v>85</v>
      </c>
      <c r="O64" s="17" t="s">
        <v>294</v>
      </c>
      <c r="P64" s="17"/>
      <c r="Q64" s="18" t="str">
        <f t="shared" si="2"/>
        <v/>
      </c>
      <c r="R64" s="24"/>
      <c r="S64" s="19"/>
      <c r="T64" s="19" t="s">
        <v>369</v>
      </c>
      <c r="U64" s="19"/>
      <c r="V64" s="19"/>
      <c r="W64" s="18" t="str">
        <f t="shared" si="3"/>
        <v/>
      </c>
    </row>
    <row r="65" spans="1:23" ht="22.8" x14ac:dyDescent="0.3">
      <c r="A65" s="17" t="s">
        <v>658</v>
      </c>
      <c r="B65" s="17" t="s">
        <v>200</v>
      </c>
      <c r="C65" s="17" t="s">
        <v>196</v>
      </c>
      <c r="D65" s="17" t="s">
        <v>201</v>
      </c>
      <c r="E65" s="17" t="s">
        <v>317</v>
      </c>
      <c r="F65" s="18" t="str">
        <f>IFERROR(INDEX('Checklist cover'!$F$5:$F$56,MATCH(B65,'Checklist cover'!$A$5:$A$56,0)),"")</f>
        <v>Nhóm 2</v>
      </c>
      <c r="G65" s="18" t="str">
        <f>IFERROR(VLOOKUP(F65,'Cấu hình'!$F$7:$G$9,2,FALSE()),"")</f>
        <v>Nguyễn Phúc Khang</v>
      </c>
      <c r="H65" s="17" t="s">
        <v>659</v>
      </c>
      <c r="I65" s="17" t="s">
        <v>451</v>
      </c>
      <c r="J65" s="17" t="s">
        <v>660</v>
      </c>
      <c r="K65" s="17" t="s">
        <v>661</v>
      </c>
      <c r="L65" s="17" t="s">
        <v>662</v>
      </c>
      <c r="M65" s="17" t="s">
        <v>382</v>
      </c>
      <c r="N65" s="17" t="s">
        <v>383</v>
      </c>
      <c r="O65" s="17" t="s">
        <v>294</v>
      </c>
      <c r="P65" s="17"/>
      <c r="Q65" s="18" t="str">
        <f t="shared" si="2"/>
        <v/>
      </c>
      <c r="R65" s="24"/>
      <c r="S65" s="19"/>
      <c r="T65" s="19" t="s">
        <v>369</v>
      </c>
      <c r="U65" s="19"/>
      <c r="V65" s="19"/>
      <c r="W65" s="18" t="str">
        <f t="shared" si="3"/>
        <v/>
      </c>
    </row>
    <row r="66" spans="1:23" ht="22.8" x14ac:dyDescent="0.3">
      <c r="A66" s="17" t="s">
        <v>663</v>
      </c>
      <c r="B66" s="17" t="s">
        <v>200</v>
      </c>
      <c r="C66" s="17" t="s">
        <v>196</v>
      </c>
      <c r="D66" s="17" t="s">
        <v>201</v>
      </c>
      <c r="E66" s="17" t="s">
        <v>317</v>
      </c>
      <c r="F66" s="18" t="str">
        <f>IFERROR(INDEX('Checklist cover'!$F$5:$F$56,MATCH(B66,'Checklist cover'!$A$5:$A$56,0)),"")</f>
        <v>Nhóm 2</v>
      </c>
      <c r="G66" s="18" t="str">
        <f>IFERROR(VLOOKUP(F66,'Cấu hình'!$F$7:$G$9,2,FALSE()),"")</f>
        <v>Nguyễn Phúc Khang</v>
      </c>
      <c r="H66" s="17" t="s">
        <v>664</v>
      </c>
      <c r="I66" s="17" t="s">
        <v>451</v>
      </c>
      <c r="J66" s="17" t="s">
        <v>665</v>
      </c>
      <c r="K66" s="17" t="s">
        <v>666</v>
      </c>
      <c r="L66" s="17" t="s">
        <v>667</v>
      </c>
      <c r="M66" s="17" t="s">
        <v>442</v>
      </c>
      <c r="N66" s="17" t="s">
        <v>85</v>
      </c>
      <c r="O66" s="17" t="s">
        <v>294</v>
      </c>
      <c r="P66" s="17"/>
      <c r="Q66" s="18" t="str">
        <f t="shared" si="2"/>
        <v/>
      </c>
      <c r="R66" s="24"/>
      <c r="S66" s="19"/>
      <c r="T66" s="19" t="s">
        <v>369</v>
      </c>
      <c r="U66" s="19"/>
      <c r="V66" s="19"/>
      <c r="W66" s="18" t="str">
        <f t="shared" si="3"/>
        <v/>
      </c>
    </row>
    <row r="67" spans="1:23" ht="22.8" x14ac:dyDescent="0.3">
      <c r="A67" s="17" t="s">
        <v>668</v>
      </c>
      <c r="B67" s="17" t="s">
        <v>204</v>
      </c>
      <c r="C67" s="17" t="s">
        <v>196</v>
      </c>
      <c r="D67" s="17" t="s">
        <v>205</v>
      </c>
      <c r="E67" s="17" t="s">
        <v>317</v>
      </c>
      <c r="F67" s="18" t="str">
        <f>IFERROR(INDEX('Checklist cover'!$F$5:$F$56,MATCH(B67,'Checklist cover'!$A$5:$A$56,0)),"")</f>
        <v>Nhóm 2</v>
      </c>
      <c r="G67" s="18" t="str">
        <f>IFERROR(VLOOKUP(F67,'Cấu hình'!$F$7:$G$9,2,FALSE()),"")</f>
        <v>Nguyễn Phúc Khang</v>
      </c>
      <c r="H67" s="17" t="s">
        <v>669</v>
      </c>
      <c r="I67" s="17" t="s">
        <v>670</v>
      </c>
      <c r="J67" s="17" t="s">
        <v>671</v>
      </c>
      <c r="K67" s="17" t="s">
        <v>672</v>
      </c>
      <c r="L67" s="17" t="s">
        <v>673</v>
      </c>
      <c r="M67" s="17" t="s">
        <v>442</v>
      </c>
      <c r="N67" s="17" t="s">
        <v>85</v>
      </c>
      <c r="O67" s="17" t="s">
        <v>294</v>
      </c>
      <c r="P67" s="17"/>
      <c r="Q67" s="18" t="str">
        <f t="shared" si="2"/>
        <v/>
      </c>
      <c r="R67" s="24"/>
      <c r="S67" s="19"/>
      <c r="T67" s="19" t="s">
        <v>369</v>
      </c>
      <c r="U67" s="19"/>
      <c r="V67" s="19"/>
      <c r="W67" s="18" t="str">
        <f t="shared" si="3"/>
        <v/>
      </c>
    </row>
    <row r="68" spans="1:23" x14ac:dyDescent="0.3">
      <c r="A68" s="17" t="s">
        <v>674</v>
      </c>
      <c r="B68" s="17" t="s">
        <v>204</v>
      </c>
      <c r="C68" s="17" t="s">
        <v>196</v>
      </c>
      <c r="D68" s="17" t="s">
        <v>205</v>
      </c>
      <c r="E68" s="17" t="s">
        <v>317</v>
      </c>
      <c r="F68" s="18" t="str">
        <f>IFERROR(INDEX('Checklist cover'!$F$5:$F$56,MATCH(B68,'Checklist cover'!$A$5:$A$56,0)),"")</f>
        <v>Nhóm 2</v>
      </c>
      <c r="G68" s="18" t="str">
        <f>IFERROR(VLOOKUP(F68,'Cấu hình'!$F$7:$G$9,2,FALSE()),"")</f>
        <v>Nguyễn Phúc Khang</v>
      </c>
      <c r="H68" s="17" t="s">
        <v>675</v>
      </c>
      <c r="I68" s="17" t="s">
        <v>676</v>
      </c>
      <c r="J68" s="17" t="s">
        <v>205</v>
      </c>
      <c r="K68" s="17"/>
      <c r="L68" s="17" t="s">
        <v>677</v>
      </c>
      <c r="M68" s="17" t="s">
        <v>442</v>
      </c>
      <c r="N68" s="17" t="s">
        <v>85</v>
      </c>
      <c r="O68" s="17" t="s">
        <v>294</v>
      </c>
      <c r="P68" s="17" t="s">
        <v>678</v>
      </c>
      <c r="Q68" s="18" t="str">
        <f t="shared" si="2"/>
        <v/>
      </c>
      <c r="R68" s="24"/>
      <c r="S68" s="19"/>
      <c r="T68" s="19" t="s">
        <v>369</v>
      </c>
      <c r="U68" s="19"/>
      <c r="V68" s="19"/>
      <c r="W68" s="18" t="str">
        <f t="shared" si="3"/>
        <v/>
      </c>
    </row>
    <row r="69" spans="1:23" ht="22.8" x14ac:dyDescent="0.3">
      <c r="A69" s="17" t="s">
        <v>679</v>
      </c>
      <c r="B69" s="17" t="s">
        <v>204</v>
      </c>
      <c r="C69" s="17" t="s">
        <v>196</v>
      </c>
      <c r="D69" s="17" t="s">
        <v>205</v>
      </c>
      <c r="E69" s="17" t="s">
        <v>317</v>
      </c>
      <c r="F69" s="18" t="str">
        <f>IFERROR(INDEX('Checklist cover'!$F$5:$F$56,MATCH(B69,'Checklist cover'!$A$5:$A$56,0)),"")</f>
        <v>Nhóm 2</v>
      </c>
      <c r="G69" s="18" t="str">
        <f>IFERROR(VLOOKUP(F69,'Cấu hình'!$F$7:$G$9,2,FALSE()),"")</f>
        <v>Nguyễn Phúc Khang</v>
      </c>
      <c r="H69" s="17" t="s">
        <v>680</v>
      </c>
      <c r="I69" s="17" t="s">
        <v>681</v>
      </c>
      <c r="J69" s="17" t="s">
        <v>682</v>
      </c>
      <c r="K69" s="17"/>
      <c r="L69" s="17" t="s">
        <v>683</v>
      </c>
      <c r="M69" s="17" t="s">
        <v>442</v>
      </c>
      <c r="N69" s="17" t="s">
        <v>85</v>
      </c>
      <c r="O69" s="17" t="s">
        <v>294</v>
      </c>
      <c r="P69" s="17"/>
      <c r="Q69" s="18" t="str">
        <f t="shared" ref="Q69:Q104" si="4">IF(T69="Not Run","",G69)</f>
        <v/>
      </c>
      <c r="R69" s="24"/>
      <c r="S69" s="19"/>
      <c r="T69" s="19" t="s">
        <v>369</v>
      </c>
      <c r="U69" s="19"/>
      <c r="V69" s="19"/>
      <c r="W69" s="18" t="str">
        <f t="shared" ref="W69:W104" si="5">IF(AND(T69="Fail",U69=""),"⚠ Fail nhưng thiếu Bug ID",IF(AND(T69&lt;&gt;"Not Run",T69&lt;&gt;"",R69=""),"⚠ Thiếu ngày test",IF(AND(T69="Pass",S69=""),"⚠ Thiếu kết quả thực tế","")))</f>
        <v/>
      </c>
    </row>
    <row r="70" spans="1:23" ht="22.8" x14ac:dyDescent="0.3">
      <c r="A70" s="17" t="s">
        <v>684</v>
      </c>
      <c r="B70" s="17" t="s">
        <v>207</v>
      </c>
      <c r="C70" s="17" t="s">
        <v>196</v>
      </c>
      <c r="D70" s="17" t="s">
        <v>208</v>
      </c>
      <c r="E70" s="17" t="s">
        <v>317</v>
      </c>
      <c r="F70" s="18" t="str">
        <f>IFERROR(INDEX('Checklist cover'!$F$5:$F$56,MATCH(B70,'Checklist cover'!$A$5:$A$56,0)),"")</f>
        <v>Nhóm 2</v>
      </c>
      <c r="G70" s="18" t="str">
        <f>IFERROR(VLOOKUP(F70,'Cấu hình'!$F$7:$G$9,2,FALSE()),"")</f>
        <v>Nguyễn Phúc Khang</v>
      </c>
      <c r="H70" s="17" t="s">
        <v>685</v>
      </c>
      <c r="I70" s="17" t="s">
        <v>686</v>
      </c>
      <c r="J70" s="17" t="s">
        <v>687</v>
      </c>
      <c r="K70" s="17"/>
      <c r="L70" s="17" t="s">
        <v>688</v>
      </c>
      <c r="M70" s="17" t="s">
        <v>368</v>
      </c>
      <c r="N70" s="17" t="s">
        <v>85</v>
      </c>
      <c r="O70" s="17" t="s">
        <v>329</v>
      </c>
      <c r="P70" s="17"/>
      <c r="Q70" s="18" t="str">
        <f t="shared" si="4"/>
        <v/>
      </c>
      <c r="R70" s="24"/>
      <c r="S70" s="19"/>
      <c r="T70" s="19" t="s">
        <v>369</v>
      </c>
      <c r="U70" s="19"/>
      <c r="V70" s="19"/>
      <c r="W70" s="18" t="str">
        <f t="shared" si="5"/>
        <v/>
      </c>
    </row>
    <row r="71" spans="1:23" ht="22.8" x14ac:dyDescent="0.3">
      <c r="A71" s="17" t="s">
        <v>689</v>
      </c>
      <c r="B71" s="17" t="s">
        <v>207</v>
      </c>
      <c r="C71" s="17" t="s">
        <v>196</v>
      </c>
      <c r="D71" s="17" t="s">
        <v>208</v>
      </c>
      <c r="E71" s="17" t="s">
        <v>317</v>
      </c>
      <c r="F71" s="18" t="str">
        <f>IFERROR(INDEX('Checklist cover'!$F$5:$F$56,MATCH(B71,'Checklist cover'!$A$5:$A$56,0)),"")</f>
        <v>Nhóm 2</v>
      </c>
      <c r="G71" s="18" t="str">
        <f>IFERROR(VLOOKUP(F71,'Cấu hình'!$F$7:$G$9,2,FALSE()),"")</f>
        <v>Nguyễn Phúc Khang</v>
      </c>
      <c r="H71" s="17" t="s">
        <v>690</v>
      </c>
      <c r="I71" s="17" t="s">
        <v>691</v>
      </c>
      <c r="J71" s="17" t="s">
        <v>692</v>
      </c>
      <c r="K71" s="17"/>
      <c r="L71" s="17" t="s">
        <v>527</v>
      </c>
      <c r="M71" s="17" t="s">
        <v>425</v>
      </c>
      <c r="N71" s="17" t="s">
        <v>402</v>
      </c>
      <c r="O71" s="17" t="s">
        <v>294</v>
      </c>
      <c r="P71" s="17"/>
      <c r="Q71" s="18" t="str">
        <f t="shared" si="4"/>
        <v/>
      </c>
      <c r="R71" s="24"/>
      <c r="S71" s="19"/>
      <c r="T71" s="19" t="s">
        <v>369</v>
      </c>
      <c r="U71" s="19"/>
      <c r="V71" s="19"/>
      <c r="W71" s="18" t="str">
        <f t="shared" si="5"/>
        <v/>
      </c>
    </row>
    <row r="72" spans="1:23" x14ac:dyDescent="0.3">
      <c r="A72" s="17" t="s">
        <v>693</v>
      </c>
      <c r="B72" s="17" t="s">
        <v>210</v>
      </c>
      <c r="C72" s="17" t="s">
        <v>196</v>
      </c>
      <c r="D72" s="17" t="s">
        <v>211</v>
      </c>
      <c r="E72" s="17" t="s">
        <v>317</v>
      </c>
      <c r="F72" s="18" t="str">
        <f>IFERROR(INDEX('Checklist cover'!$F$5:$F$56,MATCH(B72,'Checklist cover'!$A$5:$A$56,0)),"")</f>
        <v>Nhóm 2</v>
      </c>
      <c r="G72" s="18" t="str">
        <f>IFERROR(VLOOKUP(F72,'Cấu hình'!$F$7:$G$9,2,FALSE()),"")</f>
        <v>Nguyễn Phúc Khang</v>
      </c>
      <c r="H72" s="17" t="s">
        <v>694</v>
      </c>
      <c r="I72" s="17" t="s">
        <v>695</v>
      </c>
      <c r="J72" s="17" t="s">
        <v>696</v>
      </c>
      <c r="K72" s="17"/>
      <c r="L72" s="17" t="s">
        <v>697</v>
      </c>
      <c r="M72" s="17" t="s">
        <v>382</v>
      </c>
      <c r="N72" s="17" t="s">
        <v>383</v>
      </c>
      <c r="O72" s="17" t="s">
        <v>294</v>
      </c>
      <c r="P72" s="17"/>
      <c r="Q72" s="18" t="str">
        <f t="shared" si="4"/>
        <v/>
      </c>
      <c r="R72" s="24"/>
      <c r="S72" s="19"/>
      <c r="T72" s="19" t="s">
        <v>369</v>
      </c>
      <c r="U72" s="19"/>
      <c r="V72" s="19"/>
      <c r="W72" s="18" t="str">
        <f t="shared" si="5"/>
        <v/>
      </c>
    </row>
    <row r="73" spans="1:23" x14ac:dyDescent="0.3">
      <c r="A73" s="17" t="s">
        <v>698</v>
      </c>
      <c r="B73" s="17" t="s">
        <v>210</v>
      </c>
      <c r="C73" s="17" t="s">
        <v>196</v>
      </c>
      <c r="D73" s="17" t="s">
        <v>211</v>
      </c>
      <c r="E73" s="17" t="s">
        <v>317</v>
      </c>
      <c r="F73" s="18" t="str">
        <f>IFERROR(INDEX('Checklist cover'!$F$5:$F$56,MATCH(B73,'Checklist cover'!$A$5:$A$56,0)),"")</f>
        <v>Nhóm 2</v>
      </c>
      <c r="G73" s="18" t="str">
        <f>IFERROR(VLOOKUP(F73,'Cấu hình'!$F$7:$G$9,2,FALSE()),"")</f>
        <v>Nguyễn Phúc Khang</v>
      </c>
      <c r="H73" s="17" t="s">
        <v>699</v>
      </c>
      <c r="I73" s="17" t="s">
        <v>695</v>
      </c>
      <c r="J73" s="17" t="s">
        <v>700</v>
      </c>
      <c r="K73" s="17"/>
      <c r="L73" s="17" t="s">
        <v>701</v>
      </c>
      <c r="M73" s="17" t="s">
        <v>382</v>
      </c>
      <c r="N73" s="17" t="s">
        <v>383</v>
      </c>
      <c r="O73" s="17" t="s">
        <v>294</v>
      </c>
      <c r="P73" s="17"/>
      <c r="Q73" s="18" t="str">
        <f t="shared" si="4"/>
        <v/>
      </c>
      <c r="R73" s="24"/>
      <c r="S73" s="19"/>
      <c r="T73" s="19" t="s">
        <v>369</v>
      </c>
      <c r="U73" s="19"/>
      <c r="V73" s="19"/>
      <c r="W73" s="18" t="str">
        <f t="shared" si="5"/>
        <v/>
      </c>
    </row>
    <row r="74" spans="1:23" ht="22.8" x14ac:dyDescent="0.3">
      <c r="A74" s="17" t="s">
        <v>702</v>
      </c>
      <c r="B74" s="17" t="s">
        <v>213</v>
      </c>
      <c r="C74" s="17" t="s">
        <v>196</v>
      </c>
      <c r="D74" s="17" t="s">
        <v>214</v>
      </c>
      <c r="E74" s="17" t="s">
        <v>317</v>
      </c>
      <c r="F74" s="18" t="str">
        <f>IFERROR(INDEX('Checklist cover'!$F$5:$F$56,MATCH(B74,'Checklist cover'!$A$5:$A$56,0)),"")</f>
        <v>Nhóm 2</v>
      </c>
      <c r="G74" s="18" t="str">
        <f>IFERROR(VLOOKUP(F74,'Cấu hình'!$F$7:$G$9,2,FALSE()),"")</f>
        <v>Nguyễn Phúc Khang</v>
      </c>
      <c r="H74" s="17" t="s">
        <v>703</v>
      </c>
      <c r="I74" s="17" t="s">
        <v>695</v>
      </c>
      <c r="J74" s="17" t="s">
        <v>704</v>
      </c>
      <c r="K74" s="17" t="s">
        <v>705</v>
      </c>
      <c r="L74" s="17" t="s">
        <v>706</v>
      </c>
      <c r="M74" s="17" t="s">
        <v>368</v>
      </c>
      <c r="N74" s="17" t="s">
        <v>85</v>
      </c>
      <c r="O74" s="17" t="s">
        <v>329</v>
      </c>
      <c r="P74" s="17"/>
      <c r="Q74" s="18" t="str">
        <f t="shared" si="4"/>
        <v/>
      </c>
      <c r="R74" s="24"/>
      <c r="S74" s="19"/>
      <c r="T74" s="19" t="s">
        <v>369</v>
      </c>
      <c r="U74" s="19"/>
      <c r="V74" s="19"/>
      <c r="W74" s="18" t="str">
        <f t="shared" si="5"/>
        <v/>
      </c>
    </row>
    <row r="75" spans="1:23" x14ac:dyDescent="0.3">
      <c r="A75" s="17" t="s">
        <v>707</v>
      </c>
      <c r="B75" s="17" t="s">
        <v>213</v>
      </c>
      <c r="C75" s="17" t="s">
        <v>196</v>
      </c>
      <c r="D75" s="17" t="s">
        <v>214</v>
      </c>
      <c r="E75" s="17" t="s">
        <v>317</v>
      </c>
      <c r="F75" s="18" t="str">
        <f>IFERROR(INDEX('Checklist cover'!$F$5:$F$56,MATCH(B75,'Checklist cover'!$A$5:$A$56,0)),"")</f>
        <v>Nhóm 2</v>
      </c>
      <c r="G75" s="18" t="str">
        <f>IFERROR(VLOOKUP(F75,'Cấu hình'!$F$7:$G$9,2,FALSE()),"")</f>
        <v>Nguyễn Phúc Khang</v>
      </c>
      <c r="H75" s="17" t="s">
        <v>708</v>
      </c>
      <c r="I75" s="17" t="s">
        <v>709</v>
      </c>
      <c r="J75" s="17" t="s">
        <v>710</v>
      </c>
      <c r="K75" s="17" t="s">
        <v>711</v>
      </c>
      <c r="L75" s="17" t="s">
        <v>527</v>
      </c>
      <c r="M75" s="17" t="s">
        <v>376</v>
      </c>
      <c r="N75" s="17" t="s">
        <v>85</v>
      </c>
      <c r="O75" s="17" t="s">
        <v>329</v>
      </c>
      <c r="P75" s="17"/>
      <c r="Q75" s="18" t="str">
        <f t="shared" si="4"/>
        <v/>
      </c>
      <c r="R75" s="24"/>
      <c r="S75" s="19"/>
      <c r="T75" s="19" t="s">
        <v>369</v>
      </c>
      <c r="U75" s="19"/>
      <c r="V75" s="19"/>
      <c r="W75" s="18" t="str">
        <f t="shared" si="5"/>
        <v/>
      </c>
    </row>
    <row r="76" spans="1:23" ht="22.8" x14ac:dyDescent="0.3">
      <c r="A76" s="17" t="s">
        <v>712</v>
      </c>
      <c r="B76" s="17" t="s">
        <v>216</v>
      </c>
      <c r="C76" s="17" t="s">
        <v>217</v>
      </c>
      <c r="D76" s="17" t="s">
        <v>218</v>
      </c>
      <c r="E76" s="17" t="s">
        <v>321</v>
      </c>
      <c r="F76" s="18" t="str">
        <f>IFERROR(INDEX('Checklist cover'!$F$5:$F$56,MATCH(B76,'Checklist cover'!$A$5:$A$56,0)),"")</f>
        <v>Nhóm 2</v>
      </c>
      <c r="G76" s="18" t="str">
        <f>IFERROR(VLOOKUP(F76,'Cấu hình'!$F$7:$G$9,2,FALSE()),"")</f>
        <v>Nguyễn Phúc Khang</v>
      </c>
      <c r="H76" s="17" t="s">
        <v>713</v>
      </c>
      <c r="I76" s="17"/>
      <c r="J76" s="17" t="s">
        <v>714</v>
      </c>
      <c r="K76" s="17"/>
      <c r="L76" s="17" t="s">
        <v>715</v>
      </c>
      <c r="M76" s="17" t="s">
        <v>368</v>
      </c>
      <c r="N76" s="17" t="s">
        <v>85</v>
      </c>
      <c r="O76" s="17" t="s">
        <v>294</v>
      </c>
      <c r="P76" s="17"/>
      <c r="Q76" s="18" t="str">
        <f t="shared" si="4"/>
        <v/>
      </c>
      <c r="R76" s="24"/>
      <c r="S76" s="19"/>
      <c r="T76" s="19" t="s">
        <v>369</v>
      </c>
      <c r="U76" s="19"/>
      <c r="V76" s="19"/>
      <c r="W76" s="18" t="str">
        <f t="shared" si="5"/>
        <v/>
      </c>
    </row>
    <row r="77" spans="1:23" ht="22.8" x14ac:dyDescent="0.3">
      <c r="A77" s="17" t="s">
        <v>716</v>
      </c>
      <c r="B77" s="17" t="s">
        <v>216</v>
      </c>
      <c r="C77" s="17" t="s">
        <v>217</v>
      </c>
      <c r="D77" s="17" t="s">
        <v>218</v>
      </c>
      <c r="E77" s="17" t="s">
        <v>321</v>
      </c>
      <c r="F77" s="18" t="str">
        <f>IFERROR(INDEX('Checklist cover'!$F$5:$F$56,MATCH(B77,'Checklist cover'!$A$5:$A$56,0)),"")</f>
        <v>Nhóm 2</v>
      </c>
      <c r="G77" s="18" t="str">
        <f>IFERROR(VLOOKUP(F77,'Cấu hình'!$F$7:$G$9,2,FALSE()),"")</f>
        <v>Nguyễn Phúc Khang</v>
      </c>
      <c r="H77" s="17" t="s">
        <v>717</v>
      </c>
      <c r="I77" s="17" t="s">
        <v>718</v>
      </c>
      <c r="J77" s="17" t="s">
        <v>719</v>
      </c>
      <c r="K77" s="17"/>
      <c r="L77" s="17" t="s">
        <v>720</v>
      </c>
      <c r="M77" s="17" t="s">
        <v>425</v>
      </c>
      <c r="N77" s="17" t="s">
        <v>443</v>
      </c>
      <c r="O77" s="17" t="s">
        <v>294</v>
      </c>
      <c r="P77" s="17"/>
      <c r="Q77" s="18" t="str">
        <f t="shared" si="4"/>
        <v/>
      </c>
      <c r="R77" s="24"/>
      <c r="S77" s="19"/>
      <c r="T77" s="19" t="s">
        <v>369</v>
      </c>
      <c r="U77" s="19"/>
      <c r="V77" s="19"/>
      <c r="W77" s="18" t="str">
        <f t="shared" si="5"/>
        <v/>
      </c>
    </row>
    <row r="78" spans="1:23" ht="22.8" x14ac:dyDescent="0.3">
      <c r="A78" s="17" t="s">
        <v>721</v>
      </c>
      <c r="B78" s="17" t="s">
        <v>220</v>
      </c>
      <c r="C78" s="17" t="s">
        <v>217</v>
      </c>
      <c r="D78" s="17" t="s">
        <v>221</v>
      </c>
      <c r="E78" s="17" t="s">
        <v>321</v>
      </c>
      <c r="F78" s="18" t="str">
        <f>IFERROR(INDEX('Checklist cover'!$F$5:$F$56,MATCH(B78,'Checklist cover'!$A$5:$A$56,0)),"")</f>
        <v>Nhóm 2</v>
      </c>
      <c r="G78" s="18" t="str">
        <f>IFERROR(VLOOKUP(F78,'Cấu hình'!$F$7:$G$9,2,FALSE()),"")</f>
        <v>Nguyễn Phúc Khang</v>
      </c>
      <c r="H78" s="17" t="s">
        <v>722</v>
      </c>
      <c r="I78" s="17" t="s">
        <v>451</v>
      </c>
      <c r="J78" s="17" t="s">
        <v>723</v>
      </c>
      <c r="K78" s="17" t="s">
        <v>724</v>
      </c>
      <c r="L78" s="17" t="s">
        <v>725</v>
      </c>
      <c r="M78" s="17" t="s">
        <v>368</v>
      </c>
      <c r="N78" s="17" t="s">
        <v>85</v>
      </c>
      <c r="O78" s="17" t="s">
        <v>294</v>
      </c>
      <c r="P78" s="17"/>
      <c r="Q78" s="18" t="str">
        <f t="shared" si="4"/>
        <v/>
      </c>
      <c r="R78" s="24"/>
      <c r="S78" s="19"/>
      <c r="T78" s="19" t="s">
        <v>369</v>
      </c>
      <c r="U78" s="19"/>
      <c r="V78" s="19"/>
      <c r="W78" s="18" t="str">
        <f t="shared" si="5"/>
        <v/>
      </c>
    </row>
    <row r="79" spans="1:23" x14ac:dyDescent="0.3">
      <c r="A79" s="17" t="s">
        <v>726</v>
      </c>
      <c r="B79" s="17" t="s">
        <v>220</v>
      </c>
      <c r="C79" s="17" t="s">
        <v>217</v>
      </c>
      <c r="D79" s="17" t="s">
        <v>221</v>
      </c>
      <c r="E79" s="17" t="s">
        <v>321</v>
      </c>
      <c r="F79" s="18" t="str">
        <f>IFERROR(INDEX('Checklist cover'!$F$5:$F$56,MATCH(B79,'Checklist cover'!$A$5:$A$56,0)),"")</f>
        <v>Nhóm 2</v>
      </c>
      <c r="G79" s="18" t="str">
        <f>IFERROR(VLOOKUP(F79,'Cấu hình'!$F$7:$G$9,2,FALSE()),"")</f>
        <v>Nguyễn Phúc Khang</v>
      </c>
      <c r="H79" s="17" t="s">
        <v>727</v>
      </c>
      <c r="I79" s="17" t="s">
        <v>451</v>
      </c>
      <c r="J79" s="17" t="s">
        <v>728</v>
      </c>
      <c r="K79" s="17" t="s">
        <v>729</v>
      </c>
      <c r="L79" s="17" t="s">
        <v>730</v>
      </c>
      <c r="M79" s="17" t="s">
        <v>382</v>
      </c>
      <c r="N79" s="17" t="s">
        <v>383</v>
      </c>
      <c r="O79" s="17" t="s">
        <v>294</v>
      </c>
      <c r="P79" s="17"/>
      <c r="Q79" s="18" t="str">
        <f t="shared" si="4"/>
        <v/>
      </c>
      <c r="R79" s="24"/>
      <c r="S79" s="19"/>
      <c r="T79" s="19" t="s">
        <v>369</v>
      </c>
      <c r="U79" s="19"/>
      <c r="V79" s="19"/>
      <c r="W79" s="18" t="str">
        <f t="shared" si="5"/>
        <v/>
      </c>
    </row>
    <row r="80" spans="1:23" x14ac:dyDescent="0.3">
      <c r="A80" s="17" t="s">
        <v>731</v>
      </c>
      <c r="B80" s="17" t="s">
        <v>220</v>
      </c>
      <c r="C80" s="17" t="s">
        <v>217</v>
      </c>
      <c r="D80" s="17" t="s">
        <v>221</v>
      </c>
      <c r="E80" s="17" t="s">
        <v>321</v>
      </c>
      <c r="F80" s="18" t="str">
        <f>IFERROR(INDEX('Checklist cover'!$F$5:$F$56,MATCH(B80,'Checklist cover'!$A$5:$A$56,0)),"")</f>
        <v>Nhóm 2</v>
      </c>
      <c r="G80" s="18" t="str">
        <f>IFERROR(VLOOKUP(F80,'Cấu hình'!$F$7:$G$9,2,FALSE()),"")</f>
        <v>Nguyễn Phúc Khang</v>
      </c>
      <c r="H80" s="17" t="s">
        <v>732</v>
      </c>
      <c r="I80" s="17" t="s">
        <v>451</v>
      </c>
      <c r="J80" s="17" t="s">
        <v>733</v>
      </c>
      <c r="K80" s="17"/>
      <c r="L80" s="17" t="s">
        <v>527</v>
      </c>
      <c r="M80" s="17" t="s">
        <v>376</v>
      </c>
      <c r="N80" s="17" t="s">
        <v>85</v>
      </c>
      <c r="O80" s="17" t="s">
        <v>294</v>
      </c>
      <c r="P80" s="17"/>
      <c r="Q80" s="18" t="str">
        <f t="shared" si="4"/>
        <v/>
      </c>
      <c r="R80" s="24"/>
      <c r="S80" s="19"/>
      <c r="T80" s="19" t="s">
        <v>369</v>
      </c>
      <c r="U80" s="19"/>
      <c r="V80" s="19"/>
      <c r="W80" s="18" t="str">
        <f t="shared" si="5"/>
        <v/>
      </c>
    </row>
    <row r="81" spans="1:23" ht="22.8" x14ac:dyDescent="0.3">
      <c r="A81" s="17" t="s">
        <v>734</v>
      </c>
      <c r="B81" s="17" t="s">
        <v>224</v>
      </c>
      <c r="C81" s="17" t="s">
        <v>217</v>
      </c>
      <c r="D81" s="17" t="s">
        <v>225</v>
      </c>
      <c r="E81" s="17" t="s">
        <v>321</v>
      </c>
      <c r="F81" s="18" t="str">
        <f>IFERROR(INDEX('Checklist cover'!$F$5:$F$56,MATCH(B81,'Checklist cover'!$A$5:$A$56,0)),"")</f>
        <v>Nhóm 2</v>
      </c>
      <c r="G81" s="18" t="str">
        <f>IFERROR(VLOOKUP(F81,'Cấu hình'!$F$7:$G$9,2,FALSE()),"")</f>
        <v>Nguyễn Phúc Khang</v>
      </c>
      <c r="H81" s="17" t="s">
        <v>735</v>
      </c>
      <c r="I81" s="17" t="s">
        <v>451</v>
      </c>
      <c r="J81" s="17" t="s">
        <v>736</v>
      </c>
      <c r="K81" s="17"/>
      <c r="L81" s="17" t="s">
        <v>737</v>
      </c>
      <c r="M81" s="17" t="s">
        <v>368</v>
      </c>
      <c r="N81" s="17" t="s">
        <v>85</v>
      </c>
      <c r="O81" s="17" t="s">
        <v>329</v>
      </c>
      <c r="P81" s="17"/>
      <c r="Q81" s="18" t="str">
        <f t="shared" si="4"/>
        <v/>
      </c>
      <c r="R81" s="24"/>
      <c r="S81" s="19"/>
      <c r="T81" s="19" t="s">
        <v>369</v>
      </c>
      <c r="U81" s="19"/>
      <c r="V81" s="19"/>
      <c r="W81" s="18" t="str">
        <f t="shared" si="5"/>
        <v/>
      </c>
    </row>
    <row r="82" spans="1:23" ht="22.8" x14ac:dyDescent="0.3">
      <c r="A82" s="17" t="s">
        <v>738</v>
      </c>
      <c r="B82" s="17" t="s">
        <v>224</v>
      </c>
      <c r="C82" s="17" t="s">
        <v>217</v>
      </c>
      <c r="D82" s="17" t="s">
        <v>225</v>
      </c>
      <c r="E82" s="17" t="s">
        <v>321</v>
      </c>
      <c r="F82" s="18" t="str">
        <f>IFERROR(INDEX('Checklist cover'!$F$5:$F$56,MATCH(B82,'Checklist cover'!$A$5:$A$56,0)),"")</f>
        <v>Nhóm 2</v>
      </c>
      <c r="G82" s="18" t="str">
        <f>IFERROR(VLOOKUP(F82,'Cấu hình'!$F$7:$G$9,2,FALSE()),"")</f>
        <v>Nguyễn Phúc Khang</v>
      </c>
      <c r="H82" s="17" t="s">
        <v>739</v>
      </c>
      <c r="I82" s="17" t="s">
        <v>451</v>
      </c>
      <c r="J82" s="17" t="s">
        <v>740</v>
      </c>
      <c r="K82" s="17" t="s">
        <v>741</v>
      </c>
      <c r="L82" s="17" t="s">
        <v>527</v>
      </c>
      <c r="M82" s="17" t="s">
        <v>425</v>
      </c>
      <c r="N82" s="17" t="s">
        <v>402</v>
      </c>
      <c r="O82" s="17" t="s">
        <v>329</v>
      </c>
      <c r="P82" s="17"/>
      <c r="Q82" s="18" t="str">
        <f t="shared" si="4"/>
        <v/>
      </c>
      <c r="R82" s="24"/>
      <c r="S82" s="19"/>
      <c r="T82" s="19" t="s">
        <v>369</v>
      </c>
      <c r="U82" s="19"/>
      <c r="V82" s="19"/>
      <c r="W82" s="18" t="str">
        <f t="shared" si="5"/>
        <v/>
      </c>
    </row>
    <row r="83" spans="1:23" x14ac:dyDescent="0.3">
      <c r="A83" s="17" t="s">
        <v>742</v>
      </c>
      <c r="B83" s="17" t="s">
        <v>226</v>
      </c>
      <c r="C83" s="17" t="s">
        <v>217</v>
      </c>
      <c r="D83" s="17" t="s">
        <v>227</v>
      </c>
      <c r="E83" s="17" t="s">
        <v>321</v>
      </c>
      <c r="F83" s="18" t="str">
        <f>IFERROR(INDEX('Checklist cover'!$F$5:$F$56,MATCH(B83,'Checklist cover'!$A$5:$A$56,0)),"")</f>
        <v>Nhóm 2</v>
      </c>
      <c r="G83" s="18" t="str">
        <f>IFERROR(VLOOKUP(F83,'Cấu hình'!$F$7:$G$9,2,FALSE()),"")</f>
        <v>Nguyễn Phúc Khang</v>
      </c>
      <c r="H83" s="17" t="s">
        <v>743</v>
      </c>
      <c r="I83" s="17" t="s">
        <v>744</v>
      </c>
      <c r="J83" s="17" t="s">
        <v>745</v>
      </c>
      <c r="K83" s="17"/>
      <c r="L83" s="17" t="s">
        <v>746</v>
      </c>
      <c r="M83" s="17" t="s">
        <v>401</v>
      </c>
      <c r="N83" s="17" t="s">
        <v>85</v>
      </c>
      <c r="O83" s="17" t="s">
        <v>294</v>
      </c>
      <c r="P83" s="17"/>
      <c r="Q83" s="18" t="str">
        <f t="shared" si="4"/>
        <v/>
      </c>
      <c r="R83" s="24"/>
      <c r="S83" s="19"/>
      <c r="T83" s="19" t="s">
        <v>369</v>
      </c>
      <c r="U83" s="19"/>
      <c r="V83" s="19"/>
      <c r="W83" s="18" t="str">
        <f t="shared" si="5"/>
        <v/>
      </c>
    </row>
    <row r="84" spans="1:23" x14ac:dyDescent="0.3">
      <c r="A84" s="17" t="s">
        <v>747</v>
      </c>
      <c r="B84" s="17" t="s">
        <v>226</v>
      </c>
      <c r="C84" s="17" t="s">
        <v>217</v>
      </c>
      <c r="D84" s="17" t="s">
        <v>227</v>
      </c>
      <c r="E84" s="17" t="s">
        <v>321</v>
      </c>
      <c r="F84" s="18" t="str">
        <f>IFERROR(INDEX('Checklist cover'!$F$5:$F$56,MATCH(B84,'Checklist cover'!$A$5:$A$56,0)),"")</f>
        <v>Nhóm 2</v>
      </c>
      <c r="G84" s="18" t="str">
        <f>IFERROR(VLOOKUP(F84,'Cấu hình'!$F$7:$G$9,2,FALSE()),"")</f>
        <v>Nguyễn Phúc Khang</v>
      </c>
      <c r="H84" s="17" t="s">
        <v>748</v>
      </c>
      <c r="I84" s="17" t="s">
        <v>451</v>
      </c>
      <c r="J84" s="17" t="s">
        <v>749</v>
      </c>
      <c r="K84" s="17"/>
      <c r="L84" s="17" t="s">
        <v>750</v>
      </c>
      <c r="M84" s="17" t="s">
        <v>401</v>
      </c>
      <c r="N84" s="17" t="s">
        <v>443</v>
      </c>
      <c r="O84" s="17" t="s">
        <v>294</v>
      </c>
      <c r="P84" s="17"/>
      <c r="Q84" s="18" t="str">
        <f t="shared" si="4"/>
        <v/>
      </c>
      <c r="R84" s="24"/>
      <c r="S84" s="19"/>
      <c r="T84" s="19" t="s">
        <v>369</v>
      </c>
      <c r="U84" s="19"/>
      <c r="V84" s="19"/>
      <c r="W84" s="18" t="str">
        <f t="shared" si="5"/>
        <v/>
      </c>
    </row>
    <row r="85" spans="1:23" ht="22.8" x14ac:dyDescent="0.3">
      <c r="A85" s="17" t="s">
        <v>751</v>
      </c>
      <c r="B85" s="17" t="s">
        <v>230</v>
      </c>
      <c r="C85" s="17" t="s">
        <v>231</v>
      </c>
      <c r="D85" s="17" t="s">
        <v>232</v>
      </c>
      <c r="E85" s="17" t="s">
        <v>325</v>
      </c>
      <c r="F85" s="18" t="str">
        <f>IFERROR(INDEX('Checklist cover'!$F$5:$F$56,MATCH(B85,'Checklist cover'!$A$5:$A$56,0)),"")</f>
        <v>Nhóm 2</v>
      </c>
      <c r="G85" s="18" t="str">
        <f>IFERROR(VLOOKUP(F85,'Cấu hình'!$F$7:$G$9,2,FALSE()),"")</f>
        <v>Nguyễn Phúc Khang</v>
      </c>
      <c r="H85" s="17" t="s">
        <v>752</v>
      </c>
      <c r="I85" s="17" t="s">
        <v>451</v>
      </c>
      <c r="J85" s="17" t="s">
        <v>753</v>
      </c>
      <c r="K85" s="17"/>
      <c r="L85" s="17" t="s">
        <v>754</v>
      </c>
      <c r="M85" s="17" t="s">
        <v>425</v>
      </c>
      <c r="N85" s="17" t="s">
        <v>402</v>
      </c>
      <c r="O85" s="17" t="s">
        <v>294</v>
      </c>
      <c r="P85" s="17"/>
      <c r="Q85" s="18" t="str">
        <f t="shared" si="4"/>
        <v/>
      </c>
      <c r="R85" s="24"/>
      <c r="S85" s="19"/>
      <c r="T85" s="19" t="s">
        <v>369</v>
      </c>
      <c r="U85" s="19"/>
      <c r="V85" s="19"/>
      <c r="W85" s="18" t="str">
        <f t="shared" si="5"/>
        <v/>
      </c>
    </row>
    <row r="86" spans="1:23" ht="22.8" x14ac:dyDescent="0.3">
      <c r="A86" s="17" t="s">
        <v>755</v>
      </c>
      <c r="B86" s="17" t="s">
        <v>234</v>
      </c>
      <c r="C86" s="17" t="s">
        <v>231</v>
      </c>
      <c r="D86" s="17" t="s">
        <v>235</v>
      </c>
      <c r="E86" s="17" t="s">
        <v>325</v>
      </c>
      <c r="F86" s="18" t="str">
        <f>IFERROR(INDEX('Checklist cover'!$F$5:$F$56,MATCH(B86,'Checklist cover'!$A$5:$A$56,0)),"")</f>
        <v>Nhóm 2</v>
      </c>
      <c r="G86" s="18" t="str">
        <f>IFERROR(VLOOKUP(F86,'Cấu hình'!$F$7:$G$9,2,FALSE()),"")</f>
        <v>Nguyễn Phúc Khang</v>
      </c>
      <c r="H86" s="17" t="s">
        <v>756</v>
      </c>
      <c r="I86" s="17"/>
      <c r="J86" s="17" t="s">
        <v>757</v>
      </c>
      <c r="K86" s="17"/>
      <c r="L86" s="17" t="s">
        <v>758</v>
      </c>
      <c r="M86" s="17" t="s">
        <v>368</v>
      </c>
      <c r="N86" s="17" t="s">
        <v>85</v>
      </c>
      <c r="O86" s="17" t="s">
        <v>329</v>
      </c>
      <c r="P86" s="17"/>
      <c r="Q86" s="18" t="str">
        <f t="shared" si="4"/>
        <v/>
      </c>
      <c r="R86" s="24"/>
      <c r="S86" s="19"/>
      <c r="T86" s="19" t="s">
        <v>369</v>
      </c>
      <c r="U86" s="19"/>
      <c r="V86" s="19"/>
      <c r="W86" s="18" t="str">
        <f t="shared" si="5"/>
        <v/>
      </c>
    </row>
    <row r="87" spans="1:23" ht="22.8" x14ac:dyDescent="0.3">
      <c r="A87" s="17" t="s">
        <v>759</v>
      </c>
      <c r="B87" s="17" t="s">
        <v>238</v>
      </c>
      <c r="C87" s="17" t="s">
        <v>239</v>
      </c>
      <c r="D87" s="17" t="s">
        <v>240</v>
      </c>
      <c r="E87" s="17" t="s">
        <v>330</v>
      </c>
      <c r="F87" s="18" t="str">
        <f>IFERROR(INDEX('Checklist cover'!$F$5:$F$56,MATCH(B87,'Checklist cover'!$A$5:$A$56,0)),"")</f>
        <v>Nhóm 2</v>
      </c>
      <c r="G87" s="18" t="str">
        <f>IFERROR(VLOOKUP(F87,'Cấu hình'!$F$7:$G$9,2,FALSE()),"")</f>
        <v>Nguyễn Phúc Khang</v>
      </c>
      <c r="H87" s="17" t="s">
        <v>760</v>
      </c>
      <c r="I87" s="17" t="s">
        <v>334</v>
      </c>
      <c r="J87" s="17" t="s">
        <v>761</v>
      </c>
      <c r="K87" s="17"/>
      <c r="L87" s="17" t="s">
        <v>762</v>
      </c>
      <c r="M87" s="17" t="s">
        <v>368</v>
      </c>
      <c r="N87" s="17" t="s">
        <v>85</v>
      </c>
      <c r="O87" s="17" t="s">
        <v>294</v>
      </c>
      <c r="P87" s="17"/>
      <c r="Q87" s="18" t="str">
        <f t="shared" si="4"/>
        <v/>
      </c>
      <c r="R87" s="24"/>
      <c r="S87" s="19"/>
      <c r="T87" s="19" t="s">
        <v>369</v>
      </c>
      <c r="U87" s="19"/>
      <c r="V87" s="19"/>
      <c r="W87" s="18" t="str">
        <f t="shared" si="5"/>
        <v/>
      </c>
    </row>
    <row r="88" spans="1:23" ht="22.8" x14ac:dyDescent="0.3">
      <c r="A88" s="17" t="s">
        <v>763</v>
      </c>
      <c r="B88" s="17" t="s">
        <v>242</v>
      </c>
      <c r="C88" s="17" t="s">
        <v>239</v>
      </c>
      <c r="D88" s="17" t="s">
        <v>243</v>
      </c>
      <c r="E88" s="17" t="s">
        <v>330</v>
      </c>
      <c r="F88" s="18" t="str">
        <f>IFERROR(INDEX('Checklist cover'!$F$5:$F$56,MATCH(B88,'Checklist cover'!$A$5:$A$56,0)),"")</f>
        <v>Nhóm 2</v>
      </c>
      <c r="G88" s="18" t="str">
        <f>IFERROR(VLOOKUP(F88,'Cấu hình'!$F$7:$G$9,2,FALSE()),"")</f>
        <v>Nguyễn Phúc Khang</v>
      </c>
      <c r="H88" s="17" t="s">
        <v>764</v>
      </c>
      <c r="I88" s="17" t="s">
        <v>334</v>
      </c>
      <c r="J88" s="17" t="s">
        <v>765</v>
      </c>
      <c r="K88" s="17"/>
      <c r="L88" s="17" t="s">
        <v>766</v>
      </c>
      <c r="M88" s="17" t="s">
        <v>368</v>
      </c>
      <c r="N88" s="17" t="s">
        <v>85</v>
      </c>
      <c r="O88" s="17" t="s">
        <v>294</v>
      </c>
      <c r="P88" s="17"/>
      <c r="Q88" s="18" t="str">
        <f t="shared" si="4"/>
        <v/>
      </c>
      <c r="R88" s="24"/>
      <c r="S88" s="19"/>
      <c r="T88" s="19" t="s">
        <v>369</v>
      </c>
      <c r="U88" s="19"/>
      <c r="V88" s="19"/>
      <c r="W88" s="18" t="str">
        <f t="shared" si="5"/>
        <v/>
      </c>
    </row>
    <row r="89" spans="1:23" ht="22.8" x14ac:dyDescent="0.3">
      <c r="A89" s="17" t="s">
        <v>767</v>
      </c>
      <c r="B89" s="17" t="s">
        <v>245</v>
      </c>
      <c r="C89" s="17" t="s">
        <v>239</v>
      </c>
      <c r="D89" s="17" t="s">
        <v>246</v>
      </c>
      <c r="E89" s="17" t="s">
        <v>330</v>
      </c>
      <c r="F89" s="18" t="str">
        <f>IFERROR(INDEX('Checklist cover'!$F$5:$F$56,MATCH(B89,'Checklist cover'!$A$5:$A$56,0)),"")</f>
        <v>Nhóm 2</v>
      </c>
      <c r="G89" s="18" t="str">
        <f>IFERROR(VLOOKUP(F89,'Cấu hình'!$F$7:$G$9,2,FALSE()),"")</f>
        <v>Nguyễn Phúc Khang</v>
      </c>
      <c r="H89" s="17" t="s">
        <v>768</v>
      </c>
      <c r="I89" s="17" t="s">
        <v>334</v>
      </c>
      <c r="J89" s="17" t="s">
        <v>769</v>
      </c>
      <c r="K89" s="17"/>
      <c r="L89" s="17" t="s">
        <v>770</v>
      </c>
      <c r="M89" s="17" t="s">
        <v>368</v>
      </c>
      <c r="N89" s="17" t="s">
        <v>85</v>
      </c>
      <c r="O89" s="17" t="s">
        <v>329</v>
      </c>
      <c r="P89" s="17"/>
      <c r="Q89" s="18" t="str">
        <f t="shared" si="4"/>
        <v/>
      </c>
      <c r="R89" s="24"/>
      <c r="S89" s="19"/>
      <c r="T89" s="19" t="s">
        <v>369</v>
      </c>
      <c r="U89" s="19"/>
      <c r="V89" s="19"/>
      <c r="W89" s="18" t="str">
        <f t="shared" si="5"/>
        <v/>
      </c>
    </row>
    <row r="90" spans="1:23" ht="22.8" x14ac:dyDescent="0.3">
      <c r="A90" s="17" t="s">
        <v>771</v>
      </c>
      <c r="B90" s="17" t="s">
        <v>248</v>
      </c>
      <c r="C90" s="17" t="s">
        <v>239</v>
      </c>
      <c r="D90" s="17" t="s">
        <v>249</v>
      </c>
      <c r="E90" s="17" t="s">
        <v>330</v>
      </c>
      <c r="F90" s="18" t="str">
        <f>IFERROR(INDEX('Checklist cover'!$F$5:$F$56,MATCH(B90,'Checklist cover'!$A$5:$A$56,0)),"")</f>
        <v>Nhóm 2</v>
      </c>
      <c r="G90" s="18" t="str">
        <f>IFERROR(VLOOKUP(F90,'Cấu hình'!$F$7:$G$9,2,FALSE()),"")</f>
        <v>Nguyễn Phúc Khang</v>
      </c>
      <c r="H90" s="17" t="s">
        <v>249</v>
      </c>
      <c r="I90" s="17" t="s">
        <v>334</v>
      </c>
      <c r="J90" s="17" t="s">
        <v>772</v>
      </c>
      <c r="K90" s="17"/>
      <c r="L90" s="17" t="s">
        <v>773</v>
      </c>
      <c r="M90" s="17" t="s">
        <v>368</v>
      </c>
      <c r="N90" s="17" t="s">
        <v>85</v>
      </c>
      <c r="O90" s="17" t="s">
        <v>329</v>
      </c>
      <c r="P90" s="17"/>
      <c r="Q90" s="18" t="str">
        <f t="shared" si="4"/>
        <v/>
      </c>
      <c r="R90" s="24"/>
      <c r="S90" s="19"/>
      <c r="T90" s="19" t="s">
        <v>369</v>
      </c>
      <c r="U90" s="19"/>
      <c r="V90" s="19"/>
      <c r="W90" s="18" t="str">
        <f t="shared" si="5"/>
        <v/>
      </c>
    </row>
    <row r="91" spans="1:23" ht="22.8" x14ac:dyDescent="0.3">
      <c r="A91" s="17" t="s">
        <v>774</v>
      </c>
      <c r="B91" s="17" t="s">
        <v>251</v>
      </c>
      <c r="C91" s="17" t="s">
        <v>252</v>
      </c>
      <c r="D91" s="17" t="s">
        <v>253</v>
      </c>
      <c r="E91" s="17" t="s">
        <v>335</v>
      </c>
      <c r="F91" s="18" t="str">
        <f>IFERROR(INDEX('Checklist cover'!$F$5:$F$56,MATCH(B91,'Checklist cover'!$A$5:$A$56,0)),"")</f>
        <v>Nhóm 2</v>
      </c>
      <c r="G91" s="18" t="str">
        <f>IFERROR(VLOOKUP(F91,'Cấu hình'!$F$7:$G$9,2,FALSE()),"")</f>
        <v>Nguyễn Phúc Khang</v>
      </c>
      <c r="H91" s="17" t="s">
        <v>775</v>
      </c>
      <c r="I91" s="17" t="s">
        <v>451</v>
      </c>
      <c r="J91" s="17" t="s">
        <v>776</v>
      </c>
      <c r="K91" s="17"/>
      <c r="L91" s="17" t="s">
        <v>777</v>
      </c>
      <c r="M91" s="17" t="s">
        <v>425</v>
      </c>
      <c r="N91" s="17" t="s">
        <v>402</v>
      </c>
      <c r="O91" s="17" t="s">
        <v>294</v>
      </c>
      <c r="P91" s="17"/>
      <c r="Q91" s="18" t="str">
        <f t="shared" si="4"/>
        <v/>
      </c>
      <c r="R91" s="24"/>
      <c r="S91" s="19"/>
      <c r="T91" s="19" t="s">
        <v>369</v>
      </c>
      <c r="U91" s="19"/>
      <c r="V91" s="19"/>
      <c r="W91" s="18" t="str">
        <f t="shared" si="5"/>
        <v/>
      </c>
    </row>
    <row r="92" spans="1:23" ht="22.8" x14ac:dyDescent="0.3">
      <c r="A92" s="17" t="s">
        <v>778</v>
      </c>
      <c r="B92" s="17" t="s">
        <v>251</v>
      </c>
      <c r="C92" s="17" t="s">
        <v>252</v>
      </c>
      <c r="D92" s="17" t="s">
        <v>253</v>
      </c>
      <c r="E92" s="17" t="s">
        <v>335</v>
      </c>
      <c r="F92" s="18" t="str">
        <f>IFERROR(INDEX('Checklist cover'!$F$5:$F$56,MATCH(B92,'Checklist cover'!$A$5:$A$56,0)),"")</f>
        <v>Nhóm 2</v>
      </c>
      <c r="G92" s="18" t="str">
        <f>IFERROR(VLOOKUP(F92,'Cấu hình'!$F$7:$G$9,2,FALSE()),"")</f>
        <v>Nguyễn Phúc Khang</v>
      </c>
      <c r="H92" s="17" t="s">
        <v>779</v>
      </c>
      <c r="I92" s="17" t="s">
        <v>451</v>
      </c>
      <c r="J92" s="17" t="s">
        <v>780</v>
      </c>
      <c r="K92" s="17"/>
      <c r="L92" s="17" t="s">
        <v>781</v>
      </c>
      <c r="M92" s="17" t="s">
        <v>425</v>
      </c>
      <c r="N92" s="17" t="s">
        <v>402</v>
      </c>
      <c r="O92" s="17" t="s">
        <v>294</v>
      </c>
      <c r="P92" s="17"/>
      <c r="Q92" s="18" t="str">
        <f t="shared" si="4"/>
        <v/>
      </c>
      <c r="R92" s="24"/>
      <c r="S92" s="19"/>
      <c r="T92" s="19" t="s">
        <v>369</v>
      </c>
      <c r="U92" s="19"/>
      <c r="V92" s="19"/>
      <c r="W92" s="18" t="str">
        <f t="shared" si="5"/>
        <v/>
      </c>
    </row>
    <row r="93" spans="1:23" ht="22.8" x14ac:dyDescent="0.3">
      <c r="A93" s="17" t="s">
        <v>782</v>
      </c>
      <c r="B93" s="17" t="s">
        <v>256</v>
      </c>
      <c r="C93" s="17" t="s">
        <v>252</v>
      </c>
      <c r="D93" s="17" t="s">
        <v>257</v>
      </c>
      <c r="E93" s="17" t="s">
        <v>335</v>
      </c>
      <c r="F93" s="18" t="str">
        <f>IFERROR(INDEX('Checklist cover'!$F$5:$F$56,MATCH(B93,'Checklist cover'!$A$5:$A$56,0)),"")</f>
        <v>Nhóm 2</v>
      </c>
      <c r="G93" s="18" t="str">
        <f>IFERROR(VLOOKUP(F93,'Cấu hình'!$F$7:$G$9,2,FALSE()),"")</f>
        <v>Nguyễn Phúc Khang</v>
      </c>
      <c r="H93" s="17" t="s">
        <v>783</v>
      </c>
      <c r="I93" s="17" t="s">
        <v>451</v>
      </c>
      <c r="J93" s="17" t="s">
        <v>784</v>
      </c>
      <c r="K93" s="17" t="s">
        <v>785</v>
      </c>
      <c r="L93" s="17" t="s">
        <v>786</v>
      </c>
      <c r="M93" s="17" t="s">
        <v>425</v>
      </c>
      <c r="N93" s="17" t="s">
        <v>402</v>
      </c>
      <c r="O93" s="17" t="s">
        <v>294</v>
      </c>
      <c r="P93" s="17" t="s">
        <v>787</v>
      </c>
      <c r="Q93" s="18" t="str">
        <f t="shared" si="4"/>
        <v/>
      </c>
      <c r="R93" s="24"/>
      <c r="S93" s="19"/>
      <c r="T93" s="19" t="s">
        <v>369</v>
      </c>
      <c r="U93" s="19"/>
      <c r="V93" s="19"/>
      <c r="W93" s="18" t="str">
        <f t="shared" si="5"/>
        <v/>
      </c>
    </row>
    <row r="94" spans="1:23" ht="22.8" x14ac:dyDescent="0.3">
      <c r="A94" s="17" t="s">
        <v>788</v>
      </c>
      <c r="B94" s="17" t="s">
        <v>256</v>
      </c>
      <c r="C94" s="17" t="s">
        <v>252</v>
      </c>
      <c r="D94" s="17" t="s">
        <v>257</v>
      </c>
      <c r="E94" s="17" t="s">
        <v>335</v>
      </c>
      <c r="F94" s="18" t="str">
        <f>IFERROR(INDEX('Checklist cover'!$F$5:$F$56,MATCH(B94,'Checklist cover'!$A$5:$A$56,0)),"")</f>
        <v>Nhóm 2</v>
      </c>
      <c r="G94" s="18" t="str">
        <f>IFERROR(VLOOKUP(F94,'Cấu hình'!$F$7:$G$9,2,FALSE()),"")</f>
        <v>Nguyễn Phúc Khang</v>
      </c>
      <c r="H94" s="17" t="s">
        <v>789</v>
      </c>
      <c r="I94" s="17" t="s">
        <v>451</v>
      </c>
      <c r="J94" s="17" t="s">
        <v>790</v>
      </c>
      <c r="K94" s="17" t="s">
        <v>785</v>
      </c>
      <c r="L94" s="17" t="s">
        <v>791</v>
      </c>
      <c r="M94" s="17" t="s">
        <v>425</v>
      </c>
      <c r="N94" s="17" t="s">
        <v>402</v>
      </c>
      <c r="O94" s="17" t="s">
        <v>294</v>
      </c>
      <c r="P94" s="17"/>
      <c r="Q94" s="18" t="str">
        <f t="shared" si="4"/>
        <v/>
      </c>
      <c r="R94" s="24"/>
      <c r="S94" s="19"/>
      <c r="T94" s="19" t="s">
        <v>369</v>
      </c>
      <c r="U94" s="19"/>
      <c r="V94" s="19"/>
      <c r="W94" s="18" t="str">
        <f t="shared" si="5"/>
        <v/>
      </c>
    </row>
    <row r="95" spans="1:23" ht="22.8" x14ac:dyDescent="0.3">
      <c r="A95" s="17" t="s">
        <v>792</v>
      </c>
      <c r="B95" s="17" t="s">
        <v>256</v>
      </c>
      <c r="C95" s="17" t="s">
        <v>252</v>
      </c>
      <c r="D95" s="17" t="s">
        <v>257</v>
      </c>
      <c r="E95" s="17" t="s">
        <v>335</v>
      </c>
      <c r="F95" s="18" t="str">
        <f>IFERROR(INDEX('Checklist cover'!$F$5:$F$56,MATCH(B95,'Checklist cover'!$A$5:$A$56,0)),"")</f>
        <v>Nhóm 2</v>
      </c>
      <c r="G95" s="18" t="str">
        <f>IFERROR(VLOOKUP(F95,'Cấu hình'!$F$7:$G$9,2,FALSE()),"")</f>
        <v>Nguyễn Phúc Khang</v>
      </c>
      <c r="H95" s="17" t="s">
        <v>793</v>
      </c>
      <c r="I95" s="17"/>
      <c r="J95" s="17" t="s">
        <v>794</v>
      </c>
      <c r="K95" s="17" t="s">
        <v>785</v>
      </c>
      <c r="L95" s="17" t="s">
        <v>795</v>
      </c>
      <c r="M95" s="17" t="s">
        <v>425</v>
      </c>
      <c r="N95" s="17" t="s">
        <v>402</v>
      </c>
      <c r="O95" s="17" t="s">
        <v>294</v>
      </c>
      <c r="P95" s="17"/>
      <c r="Q95" s="18" t="str">
        <f t="shared" si="4"/>
        <v/>
      </c>
      <c r="R95" s="24"/>
      <c r="S95" s="19"/>
      <c r="T95" s="19" t="s">
        <v>369</v>
      </c>
      <c r="U95" s="19"/>
      <c r="V95" s="19"/>
      <c r="W95" s="18" t="str">
        <f t="shared" si="5"/>
        <v/>
      </c>
    </row>
    <row r="96" spans="1:23" ht="22.8" x14ac:dyDescent="0.3">
      <c r="A96" s="17" t="s">
        <v>796</v>
      </c>
      <c r="B96" s="17" t="s">
        <v>260</v>
      </c>
      <c r="C96" s="17" t="s">
        <v>252</v>
      </c>
      <c r="D96" s="17" t="s">
        <v>261</v>
      </c>
      <c r="E96" s="17" t="s">
        <v>335</v>
      </c>
      <c r="F96" s="18" t="str">
        <f>IFERROR(INDEX('Checklist cover'!$F$5:$F$56,MATCH(B96,'Checklist cover'!$A$5:$A$56,0)),"")</f>
        <v>Nhóm 2</v>
      </c>
      <c r="G96" s="18" t="str">
        <f>IFERROR(VLOOKUP(F96,'Cấu hình'!$F$7:$G$9,2,FALSE()),"")</f>
        <v>Nguyễn Phúc Khang</v>
      </c>
      <c r="H96" s="17" t="s">
        <v>797</v>
      </c>
      <c r="I96" s="17"/>
      <c r="J96" s="17" t="s">
        <v>798</v>
      </c>
      <c r="K96" s="17" t="s">
        <v>799</v>
      </c>
      <c r="L96" s="17" t="s">
        <v>800</v>
      </c>
      <c r="M96" s="17" t="s">
        <v>425</v>
      </c>
      <c r="N96" s="17" t="s">
        <v>402</v>
      </c>
      <c r="O96" s="17" t="s">
        <v>294</v>
      </c>
      <c r="P96" s="17"/>
      <c r="Q96" s="18" t="str">
        <f t="shared" si="4"/>
        <v/>
      </c>
      <c r="R96" s="24"/>
      <c r="S96" s="19"/>
      <c r="T96" s="19" t="s">
        <v>369</v>
      </c>
      <c r="U96" s="19"/>
      <c r="V96" s="19"/>
      <c r="W96" s="18" t="str">
        <f t="shared" si="5"/>
        <v/>
      </c>
    </row>
    <row r="97" spans="1:23" ht="22.8" x14ac:dyDescent="0.3">
      <c r="A97" s="17" t="s">
        <v>801</v>
      </c>
      <c r="B97" s="17" t="s">
        <v>260</v>
      </c>
      <c r="C97" s="17" t="s">
        <v>252</v>
      </c>
      <c r="D97" s="17" t="s">
        <v>261</v>
      </c>
      <c r="E97" s="17" t="s">
        <v>335</v>
      </c>
      <c r="F97" s="18" t="str">
        <f>IFERROR(INDEX('Checklist cover'!$F$5:$F$56,MATCH(B97,'Checklist cover'!$A$5:$A$56,0)),"")</f>
        <v>Nhóm 2</v>
      </c>
      <c r="G97" s="18" t="str">
        <f>IFERROR(VLOOKUP(F97,'Cấu hình'!$F$7:$G$9,2,FALSE()),"")</f>
        <v>Nguyễn Phúc Khang</v>
      </c>
      <c r="H97" s="17" t="s">
        <v>802</v>
      </c>
      <c r="I97" s="17"/>
      <c r="J97" s="17" t="s">
        <v>803</v>
      </c>
      <c r="K97" s="17" t="s">
        <v>799</v>
      </c>
      <c r="L97" s="17" t="s">
        <v>804</v>
      </c>
      <c r="M97" s="17" t="s">
        <v>425</v>
      </c>
      <c r="N97" s="17" t="s">
        <v>402</v>
      </c>
      <c r="O97" s="17" t="s">
        <v>294</v>
      </c>
      <c r="P97" s="17"/>
      <c r="Q97" s="18" t="str">
        <f t="shared" si="4"/>
        <v/>
      </c>
      <c r="R97" s="24"/>
      <c r="S97" s="19"/>
      <c r="T97" s="19" t="s">
        <v>369</v>
      </c>
      <c r="U97" s="19"/>
      <c r="V97" s="19"/>
      <c r="W97" s="18" t="str">
        <f t="shared" si="5"/>
        <v/>
      </c>
    </row>
    <row r="98" spans="1:23" ht="22.8" x14ac:dyDescent="0.3">
      <c r="A98" s="17" t="s">
        <v>805</v>
      </c>
      <c r="B98" s="17" t="s">
        <v>260</v>
      </c>
      <c r="C98" s="17" t="s">
        <v>252</v>
      </c>
      <c r="D98" s="17" t="s">
        <v>261</v>
      </c>
      <c r="E98" s="17" t="s">
        <v>335</v>
      </c>
      <c r="F98" s="18" t="str">
        <f>IFERROR(INDEX('Checklist cover'!$F$5:$F$56,MATCH(B98,'Checklist cover'!$A$5:$A$56,0)),"")</f>
        <v>Nhóm 2</v>
      </c>
      <c r="G98" s="18" t="str">
        <f>IFERROR(VLOOKUP(F98,'Cấu hình'!$F$7:$G$9,2,FALSE()),"")</f>
        <v>Nguyễn Phúc Khang</v>
      </c>
      <c r="H98" s="17" t="s">
        <v>806</v>
      </c>
      <c r="I98" s="17"/>
      <c r="J98" s="17" t="s">
        <v>807</v>
      </c>
      <c r="K98" s="17" t="s">
        <v>799</v>
      </c>
      <c r="L98" s="17" t="s">
        <v>808</v>
      </c>
      <c r="M98" s="17" t="s">
        <v>425</v>
      </c>
      <c r="N98" s="17" t="s">
        <v>402</v>
      </c>
      <c r="O98" s="17" t="s">
        <v>294</v>
      </c>
      <c r="P98" s="17"/>
      <c r="Q98" s="18" t="str">
        <f t="shared" si="4"/>
        <v/>
      </c>
      <c r="R98" s="24"/>
      <c r="S98" s="19"/>
      <c r="T98" s="19" t="s">
        <v>369</v>
      </c>
      <c r="U98" s="19"/>
      <c r="V98" s="19"/>
      <c r="W98" s="18" t="str">
        <f t="shared" si="5"/>
        <v/>
      </c>
    </row>
    <row r="99" spans="1:23" ht="22.8" x14ac:dyDescent="0.3">
      <c r="A99" s="17" t="s">
        <v>809</v>
      </c>
      <c r="B99" s="17" t="s">
        <v>263</v>
      </c>
      <c r="C99" s="17" t="s">
        <v>252</v>
      </c>
      <c r="D99" s="17" t="s">
        <v>264</v>
      </c>
      <c r="E99" s="17" t="s">
        <v>335</v>
      </c>
      <c r="F99" s="18" t="str">
        <f>IFERROR(INDEX('Checklist cover'!$F$5:$F$56,MATCH(B99,'Checklist cover'!$A$5:$A$56,0)),"")</f>
        <v>Nhóm 2</v>
      </c>
      <c r="G99" s="18" t="str">
        <f>IFERROR(VLOOKUP(F99,'Cấu hình'!$F$7:$G$9,2,FALSE()),"")</f>
        <v>Nguyễn Phúc Khang</v>
      </c>
      <c r="H99" s="17" t="s">
        <v>810</v>
      </c>
      <c r="I99" s="17" t="s">
        <v>451</v>
      </c>
      <c r="J99" s="17" t="s">
        <v>811</v>
      </c>
      <c r="K99" s="17" t="s">
        <v>812</v>
      </c>
      <c r="L99" s="17" t="s">
        <v>813</v>
      </c>
      <c r="M99" s="17" t="s">
        <v>425</v>
      </c>
      <c r="N99" s="17" t="s">
        <v>402</v>
      </c>
      <c r="O99" s="17" t="s">
        <v>294</v>
      </c>
      <c r="P99" s="17"/>
      <c r="Q99" s="18" t="str">
        <f t="shared" si="4"/>
        <v/>
      </c>
      <c r="R99" s="24"/>
      <c r="S99" s="19"/>
      <c r="T99" s="19" t="s">
        <v>369</v>
      </c>
      <c r="U99" s="19"/>
      <c r="V99" s="19"/>
      <c r="W99" s="18" t="str">
        <f t="shared" si="5"/>
        <v/>
      </c>
    </row>
    <row r="100" spans="1:23" ht="22.8" x14ac:dyDescent="0.3">
      <c r="A100" s="17" t="s">
        <v>814</v>
      </c>
      <c r="B100" s="17" t="s">
        <v>263</v>
      </c>
      <c r="C100" s="17" t="s">
        <v>252</v>
      </c>
      <c r="D100" s="17" t="s">
        <v>264</v>
      </c>
      <c r="E100" s="17" t="s">
        <v>335</v>
      </c>
      <c r="F100" s="18" t="str">
        <f>IFERROR(INDEX('Checklist cover'!$F$5:$F$56,MATCH(B100,'Checklist cover'!$A$5:$A$56,0)),"")</f>
        <v>Nhóm 2</v>
      </c>
      <c r="G100" s="18" t="str">
        <f>IFERROR(VLOOKUP(F100,'Cấu hình'!$F$7:$G$9,2,FALSE()),"")</f>
        <v>Nguyễn Phúc Khang</v>
      </c>
      <c r="H100" s="17" t="s">
        <v>815</v>
      </c>
      <c r="I100" s="17" t="s">
        <v>451</v>
      </c>
      <c r="J100" s="17" t="s">
        <v>816</v>
      </c>
      <c r="K100" s="17"/>
      <c r="L100" s="17" t="s">
        <v>817</v>
      </c>
      <c r="M100" s="17" t="s">
        <v>425</v>
      </c>
      <c r="N100" s="17" t="s">
        <v>402</v>
      </c>
      <c r="O100" s="17" t="s">
        <v>294</v>
      </c>
      <c r="P100" s="17"/>
      <c r="Q100" s="18" t="str">
        <f t="shared" si="4"/>
        <v/>
      </c>
      <c r="R100" s="24"/>
      <c r="S100" s="19"/>
      <c r="T100" s="19" t="s">
        <v>369</v>
      </c>
      <c r="U100" s="19"/>
      <c r="V100" s="19"/>
      <c r="W100" s="18" t="str">
        <f t="shared" si="5"/>
        <v/>
      </c>
    </row>
    <row r="101" spans="1:23" x14ac:dyDescent="0.3">
      <c r="A101" s="17" t="s">
        <v>818</v>
      </c>
      <c r="B101" s="17" t="s">
        <v>266</v>
      </c>
      <c r="C101" s="17" t="s">
        <v>252</v>
      </c>
      <c r="D101" s="17" t="s">
        <v>267</v>
      </c>
      <c r="E101" s="17" t="s">
        <v>335</v>
      </c>
      <c r="F101" s="18" t="str">
        <f>IFERROR(INDEX('Checklist cover'!$F$5:$F$56,MATCH(B101,'Checklist cover'!$A$5:$A$56,0)),"")</f>
        <v>Nhóm 1</v>
      </c>
      <c r="G101" s="18" t="str">
        <f>IFERROR(VLOOKUP(F101,'Cấu hình'!$F$7:$G$9,2,FALSE()),"")</f>
        <v>Lâm Hoài An</v>
      </c>
      <c r="H101" s="17" t="s">
        <v>819</v>
      </c>
      <c r="I101" s="17" t="s">
        <v>334</v>
      </c>
      <c r="J101" s="17" t="s">
        <v>820</v>
      </c>
      <c r="K101" s="17" t="s">
        <v>821</v>
      </c>
      <c r="L101" s="17" t="s">
        <v>822</v>
      </c>
      <c r="M101" s="17" t="s">
        <v>376</v>
      </c>
      <c r="N101" s="17" t="s">
        <v>85</v>
      </c>
      <c r="O101" s="17" t="s">
        <v>329</v>
      </c>
      <c r="P101" s="17"/>
      <c r="Q101" s="18" t="str">
        <f t="shared" si="4"/>
        <v/>
      </c>
      <c r="R101" s="24"/>
      <c r="S101" s="19"/>
      <c r="T101" s="19" t="s">
        <v>369</v>
      </c>
      <c r="U101" s="19"/>
      <c r="V101" s="19"/>
      <c r="W101" s="18" t="str">
        <f t="shared" si="5"/>
        <v/>
      </c>
    </row>
    <row r="102" spans="1:23" ht="22.8" x14ac:dyDescent="0.3">
      <c r="A102" s="17" t="s">
        <v>823</v>
      </c>
      <c r="B102" s="17" t="s">
        <v>270</v>
      </c>
      <c r="C102" s="17" t="s">
        <v>252</v>
      </c>
      <c r="D102" s="17" t="s">
        <v>271</v>
      </c>
      <c r="E102" s="17" t="s">
        <v>340</v>
      </c>
      <c r="F102" s="18" t="str">
        <f>IFERROR(INDEX('Checklist cover'!$F$5:$F$56,MATCH(B102,'Checklist cover'!$A$5:$A$56,0)),"")</f>
        <v>Phi chức năng</v>
      </c>
      <c r="G102" s="18" t="str">
        <f>IFERROR(VLOOKUP(F102,'Cấu hình'!$F$7:$G$9,2,FALSE()),"")</f>
        <v>Châu Minh Tuệ</v>
      </c>
      <c r="H102" s="17" t="s">
        <v>824</v>
      </c>
      <c r="I102" s="17"/>
      <c r="J102" s="17" t="s">
        <v>825</v>
      </c>
      <c r="K102" s="17"/>
      <c r="L102" s="17" t="s">
        <v>826</v>
      </c>
      <c r="M102" s="17" t="s">
        <v>425</v>
      </c>
      <c r="N102" s="17" t="s">
        <v>463</v>
      </c>
      <c r="O102" s="17" t="s">
        <v>329</v>
      </c>
      <c r="P102" s="17"/>
      <c r="Q102" s="18" t="str">
        <f t="shared" si="4"/>
        <v/>
      </c>
      <c r="R102" s="24"/>
      <c r="S102" s="19"/>
      <c r="T102" s="19" t="s">
        <v>369</v>
      </c>
      <c r="U102" s="19"/>
      <c r="V102" s="19"/>
      <c r="W102" s="18" t="str">
        <f t="shared" si="5"/>
        <v/>
      </c>
    </row>
    <row r="103" spans="1:23" ht="22.8" x14ac:dyDescent="0.3">
      <c r="A103" s="17" t="s">
        <v>827</v>
      </c>
      <c r="B103" s="17" t="s">
        <v>273</v>
      </c>
      <c r="C103" s="17" t="s">
        <v>252</v>
      </c>
      <c r="D103" s="17" t="s">
        <v>274</v>
      </c>
      <c r="E103" s="17" t="s">
        <v>340</v>
      </c>
      <c r="F103" s="18" t="str">
        <f>IFERROR(INDEX('Checklist cover'!$F$5:$F$56,MATCH(B103,'Checklist cover'!$A$5:$A$56,0)),"")</f>
        <v>Phi chức năng</v>
      </c>
      <c r="G103" s="18" t="str">
        <f>IFERROR(VLOOKUP(F103,'Cấu hình'!$F$7:$G$9,2,FALSE()),"")</f>
        <v>Châu Minh Tuệ</v>
      </c>
      <c r="H103" s="17" t="s">
        <v>275</v>
      </c>
      <c r="I103" s="17"/>
      <c r="J103" s="17" t="s">
        <v>828</v>
      </c>
      <c r="K103" s="17"/>
      <c r="L103" s="17" t="s">
        <v>829</v>
      </c>
      <c r="M103" s="17" t="s">
        <v>425</v>
      </c>
      <c r="N103" s="17" t="s">
        <v>830</v>
      </c>
      <c r="O103" s="17" t="s">
        <v>409</v>
      </c>
      <c r="P103" s="17"/>
      <c r="Q103" s="18" t="str">
        <f t="shared" si="4"/>
        <v/>
      </c>
      <c r="R103" s="24"/>
      <c r="S103" s="19"/>
      <c r="T103" s="19" t="s">
        <v>369</v>
      </c>
      <c r="U103" s="19"/>
      <c r="V103" s="19"/>
      <c r="W103" s="18" t="str">
        <f t="shared" si="5"/>
        <v/>
      </c>
    </row>
    <row r="104" spans="1:23" ht="22.8" x14ac:dyDescent="0.3">
      <c r="A104" s="17" t="s">
        <v>831</v>
      </c>
      <c r="B104" s="17" t="s">
        <v>276</v>
      </c>
      <c r="C104" s="17" t="s">
        <v>252</v>
      </c>
      <c r="D104" s="17" t="s">
        <v>277</v>
      </c>
      <c r="E104" s="17" t="s">
        <v>335</v>
      </c>
      <c r="F104" s="18" t="str">
        <f>IFERROR(INDEX('Checklist cover'!$F$5:$F$56,MATCH(B104,'Checklist cover'!$A$5:$A$56,0)),"")</f>
        <v>Nhóm 2</v>
      </c>
      <c r="G104" s="18" t="str">
        <f>IFERROR(VLOOKUP(F104,'Cấu hình'!$F$7:$G$9,2,FALSE()),"")</f>
        <v>Nguyễn Phúc Khang</v>
      </c>
      <c r="H104" s="17" t="s">
        <v>832</v>
      </c>
      <c r="I104" s="17"/>
      <c r="J104" s="17" t="s">
        <v>833</v>
      </c>
      <c r="K104" s="17"/>
      <c r="L104" s="17" t="s">
        <v>834</v>
      </c>
      <c r="M104" s="17" t="s">
        <v>425</v>
      </c>
      <c r="N104" s="17" t="s">
        <v>402</v>
      </c>
      <c r="O104" s="17" t="s">
        <v>294</v>
      </c>
      <c r="P104" s="17"/>
      <c r="Q104" s="18" t="str">
        <f t="shared" si="4"/>
        <v/>
      </c>
      <c r="R104" s="24"/>
      <c r="S104" s="19"/>
      <c r="T104" s="19" t="s">
        <v>369</v>
      </c>
      <c r="U104" s="19"/>
      <c r="V104" s="19"/>
      <c r="W104" s="18" t="str">
        <f t="shared" si="5"/>
        <v/>
      </c>
    </row>
  </sheetData>
  <autoFilter ref="A4:W104" xr:uid="{00000000-0009-0000-0000-000007000000}"/>
  <conditionalFormatting sqref="T5:T300">
    <cfRule type="cellIs" dxfId="4" priority="2" operator="equal">
      <formula>"Pass"</formula>
    </cfRule>
    <cfRule type="cellIs" dxfId="3" priority="3" operator="equal">
      <formula>"Fail"</formula>
    </cfRule>
    <cfRule type="cellIs" dxfId="2" priority="4" operator="equal">
      <formula>"Blocked"</formula>
    </cfRule>
  </conditionalFormatting>
  <conditionalFormatting sqref="W5:W300">
    <cfRule type="expression" dxfId="1" priority="5">
      <formula>LEFT(W5,1)="⚠"</formula>
    </cfRule>
  </conditionalFormatting>
  <dataValidations count="2">
    <dataValidation type="list" allowBlank="1" showErrorMessage="1" sqref="T5:T300" xr:uid="{00000000-0002-0000-0700-000000000000}">
      <formula1>"Not Run,Pass,Fail,Blocked,N/A"</formula1>
      <formula2>0</formula2>
    </dataValidation>
    <dataValidation type="date" operator="greaterThan" allowBlank="1" showErrorMessage="1" error="Nhập ngày dạng dd/mm/yyyy (hoặc Ctrl + ;)" sqref="R5:R300" xr:uid="{00000000-0002-0000-0700-000003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xr:uid="{00000000-0002-0000-0700-000001000000}">
          <x14:formula1>
            <xm:f>'Cấu hình'!$B$7:$B$16</xm:f>
          </x14:formula1>
          <x14:formula2>
            <xm:f>0</xm:f>
          </x14:formula2>
          <xm:sqref>Q5:Q300</xm:sqref>
        </x14:dataValidation>
        <x14:dataValidation type="list" errorStyle="warning" allowBlank="1" xr:uid="{00000000-0002-0000-0700-000002000000}">
          <x14:formula1>
            <xm:f>'Bug Log'!$A$5:$A$154</xm:f>
          </x14:formula1>
          <x14:formula2>
            <xm:f>0</xm:f>
          </x14:formula2>
          <xm:sqref>U5:U300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N20"/>
  <sheetViews>
    <sheetView zoomScaleNormal="100" workbookViewId="0">
      <pane xSplit="2" ySplit="4" topLeftCell="C7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8" customWidth="1"/>
    <col min="2" max="2" width="9" customWidth="1"/>
    <col min="3" max="3" width="42" customWidth="1"/>
    <col min="4" max="4" width="26" customWidth="1"/>
    <col min="5" max="5" width="30" customWidth="1"/>
    <col min="6" max="7" width="18" customWidth="1"/>
    <col min="8" max="10" width="9" customWidth="1"/>
    <col min="11" max="12" width="12" customWidth="1"/>
    <col min="13" max="13" width="26" customWidth="1"/>
    <col min="14" max="14" width="22" customWidth="1"/>
  </cols>
  <sheetData>
    <row r="1" spans="1:14" ht="17.399999999999999" x14ac:dyDescent="0.3">
      <c r="A1" s="3" t="s">
        <v>835</v>
      </c>
    </row>
    <row r="2" spans="1:14" x14ac:dyDescent="0.3">
      <c r="A2" s="4" t="s">
        <v>836</v>
      </c>
    </row>
    <row r="4" spans="1:14" ht="33.75" customHeight="1" x14ac:dyDescent="0.3">
      <c r="A4" s="16" t="s">
        <v>837</v>
      </c>
      <c r="B4" s="16" t="s">
        <v>346</v>
      </c>
      <c r="C4" s="16" t="s">
        <v>838</v>
      </c>
      <c r="D4" s="16" t="s">
        <v>839</v>
      </c>
      <c r="E4" s="16" t="s">
        <v>840</v>
      </c>
      <c r="F4" s="16" t="s">
        <v>841</v>
      </c>
      <c r="G4" s="16" t="s">
        <v>842</v>
      </c>
      <c r="H4" s="16" t="s">
        <v>843</v>
      </c>
      <c r="I4" s="16" t="s">
        <v>844</v>
      </c>
      <c r="J4" s="16" t="s">
        <v>845</v>
      </c>
      <c r="K4" s="16" t="s">
        <v>846</v>
      </c>
      <c r="L4" s="16" t="s">
        <v>847</v>
      </c>
      <c r="M4" s="16" t="s">
        <v>848</v>
      </c>
      <c r="N4" s="16" t="s">
        <v>9</v>
      </c>
    </row>
    <row r="5" spans="1:14" x14ac:dyDescent="0.3">
      <c r="A5" s="17" t="s">
        <v>390</v>
      </c>
      <c r="B5" s="17" t="s">
        <v>384</v>
      </c>
      <c r="C5" s="18" t="str">
        <f>IFERROR(INDEX('Test Cases'!$H$5:$H$300,MATCH(B5,'Test Cases'!$A$5:$A$300,0)),"")</f>
        <v>Đăng nhập đúng</v>
      </c>
      <c r="D5" s="18" t="str">
        <f>IFERROR(INDEX('Test Cases'!$D$5:$D$300,MATCH(B5,'Test Cases'!$A$5:$A$300,0)),"")</f>
        <v>Đăng nhập</v>
      </c>
      <c r="E5" s="17" t="s">
        <v>849</v>
      </c>
      <c r="F5" s="17" t="s">
        <v>850</v>
      </c>
      <c r="G5" s="18" t="str">
        <f>'Cấu hình'!$B$10</f>
        <v>Võ Trường Hải</v>
      </c>
      <c r="H5" s="19" t="s">
        <v>369</v>
      </c>
      <c r="I5" s="19" t="s">
        <v>369</v>
      </c>
      <c r="J5" s="19" t="s">
        <v>369</v>
      </c>
      <c r="K5" s="19"/>
      <c r="L5" s="24"/>
      <c r="M5" s="19"/>
      <c r="N5" s="19"/>
    </row>
    <row r="6" spans="1:14" x14ac:dyDescent="0.3">
      <c r="A6" s="17" t="s">
        <v>403</v>
      </c>
      <c r="B6" s="17" t="s">
        <v>396</v>
      </c>
      <c r="C6" s="18" t="str">
        <f>IFERROR(INDEX('Test Cases'!$H$5:$H$300,MATCH(B6,'Test Cases'!$A$5:$A$300,0)),"")</f>
        <v>Sai 5 lần liên tiếp cùng email</v>
      </c>
      <c r="D6" s="18" t="str">
        <f>IFERROR(INDEX('Test Cases'!$D$5:$D$300,MATCH(B6,'Test Cases'!$A$5:$A$300,0)),"")</f>
        <v>Chống dò mật khẩu (throttle)</v>
      </c>
      <c r="E6" s="17" t="s">
        <v>851</v>
      </c>
      <c r="F6" s="17" t="s">
        <v>850</v>
      </c>
      <c r="G6" s="18" t="str">
        <f>'Cấu hình'!$B$10</f>
        <v>Võ Trường Hải</v>
      </c>
      <c r="H6" s="19" t="s">
        <v>369</v>
      </c>
      <c r="I6" s="19" t="s">
        <v>369</v>
      </c>
      <c r="J6" s="19" t="s">
        <v>369</v>
      </c>
      <c r="K6" s="19"/>
      <c r="L6" s="24"/>
      <c r="M6" s="19"/>
      <c r="N6" s="19"/>
    </row>
    <row r="7" spans="1:14" ht="22.8" x14ac:dyDescent="0.3">
      <c r="A7" s="17" t="s">
        <v>448</v>
      </c>
      <c r="B7" s="17" t="s">
        <v>444</v>
      </c>
      <c r="C7" s="18" t="str">
        <f>IFERROR(INDEX('Test Cases'!$H$5:$H$300,MATCH(B7,'Test Cases'!$A$5:$A$300,0)),"")</f>
        <v>Guest vào trang Admin</v>
      </c>
      <c r="D7" s="18" t="str">
        <f>IFERROR(INDEX('Test Cases'!$D$5:$D$300,MATCH(B7,'Test Cases'!$A$5:$A$300,0)),"")</f>
        <v>Truy cập theo vai trò Guest/User/Admin</v>
      </c>
      <c r="E7" s="17" t="s">
        <v>852</v>
      </c>
      <c r="F7" s="17" t="s">
        <v>850</v>
      </c>
      <c r="G7" s="18" t="str">
        <f>'Cấu hình'!$B$10</f>
        <v>Võ Trường Hải</v>
      </c>
      <c r="H7" s="19" t="s">
        <v>369</v>
      </c>
      <c r="I7" s="19" t="s">
        <v>369</v>
      </c>
      <c r="J7" s="19" t="s">
        <v>369</v>
      </c>
      <c r="K7" s="19"/>
      <c r="L7" s="24"/>
      <c r="M7" s="19"/>
      <c r="N7" s="19"/>
    </row>
    <row r="8" spans="1:14" x14ac:dyDescent="0.3">
      <c r="A8" s="17" t="s">
        <v>787</v>
      </c>
      <c r="B8" s="17" t="s">
        <v>782</v>
      </c>
      <c r="C8" s="18" t="str">
        <f>IFERROR(INDEX('Test Cases'!$H$5:$H$300,MATCH(B8,'Test Cases'!$A$5:$A$300,0)),"")</f>
        <v>XSS lưu trong bình luận</v>
      </c>
      <c r="D8" s="18" t="str">
        <f>IFERROR(INDEX('Test Cases'!$D$5:$D$300,MATCH(B8,'Test Cases'!$A$5:$A$300,0)),"")</f>
        <v>Chống XSS</v>
      </c>
      <c r="E8" s="17" t="s">
        <v>853</v>
      </c>
      <c r="F8" s="17" t="s">
        <v>850</v>
      </c>
      <c r="G8" s="18" t="str">
        <f>'Cấu hình'!$B$10</f>
        <v>Võ Trường Hải</v>
      </c>
      <c r="H8" s="19" t="s">
        <v>369</v>
      </c>
      <c r="I8" s="19" t="s">
        <v>369</v>
      </c>
      <c r="J8" s="19" t="s">
        <v>369</v>
      </c>
      <c r="K8" s="19"/>
      <c r="L8" s="24"/>
      <c r="M8" s="19"/>
      <c r="N8" s="19"/>
    </row>
    <row r="9" spans="1:14" x14ac:dyDescent="0.3">
      <c r="A9" s="17" t="s">
        <v>551</v>
      </c>
      <c r="B9" s="17" t="s">
        <v>546</v>
      </c>
      <c r="C9" s="18" t="str">
        <f>IFERROR(INDEX('Test Cases'!$H$5:$H$300,MATCH(B9,'Test Cases'!$A$5:$A$300,0)),"")</f>
        <v>Gửi idea hợp lệ</v>
      </c>
      <c r="D9" s="18" t="str">
        <f>IFERROR(INDEX('Test Cases'!$D$5:$D$300,MATCH(B9,'Test Cases'!$A$5:$A$300,0)),"")</f>
        <v>Gửi Idea</v>
      </c>
      <c r="E9" s="17" t="s">
        <v>854</v>
      </c>
      <c r="F9" s="17" t="s">
        <v>850</v>
      </c>
      <c r="G9" s="18" t="str">
        <f>'Cấu hình'!$B$10</f>
        <v>Võ Trường Hải</v>
      </c>
      <c r="H9" s="19" t="s">
        <v>369</v>
      </c>
      <c r="I9" s="19" t="s">
        <v>369</v>
      </c>
      <c r="J9" s="19" t="s">
        <v>369</v>
      </c>
      <c r="K9" s="19"/>
      <c r="L9" s="24"/>
      <c r="M9" s="19"/>
      <c r="N9" s="19"/>
    </row>
    <row r="10" spans="1:14" x14ac:dyDescent="0.3">
      <c r="A10" s="17" t="s">
        <v>678</v>
      </c>
      <c r="B10" s="17" t="s">
        <v>674</v>
      </c>
      <c r="C10" s="18" t="str">
        <f>IFERROR(INDEX('Test Cases'!$H$5:$H$300,MATCH(B10,'Test Cases'!$A$5:$A$300,0)),"")</f>
        <v>Mua khi không đủ gem</v>
      </c>
      <c r="D10" s="18" t="str">
        <f>IFERROR(INDEX('Test Cases'!$D$5:$D$300,MATCH(B10,'Test Cases'!$A$5:$A$300,0)),"")</f>
        <v>Mua vật phẩm</v>
      </c>
      <c r="E10" s="17" t="s">
        <v>855</v>
      </c>
      <c r="F10" s="17" t="s">
        <v>850</v>
      </c>
      <c r="G10" s="18" t="str">
        <f>'Cấu hình'!$B$10</f>
        <v>Võ Trường Hải</v>
      </c>
      <c r="H10" s="19" t="s">
        <v>369</v>
      </c>
      <c r="I10" s="19" t="s">
        <v>369</v>
      </c>
      <c r="J10" s="19" t="s">
        <v>369</v>
      </c>
      <c r="K10" s="19"/>
      <c r="L10" s="24"/>
      <c r="M10" s="19"/>
      <c r="N10" s="19"/>
    </row>
    <row r="14" spans="1:14" x14ac:dyDescent="0.3">
      <c r="A14" s="14" t="s">
        <v>856</v>
      </c>
    </row>
    <row r="15" spans="1:14" x14ac:dyDescent="0.3">
      <c r="A15" s="25" t="s">
        <v>857</v>
      </c>
      <c r="B15" s="9">
        <f>COUNTIF(A5:A12,"AT*")</f>
        <v>6</v>
      </c>
    </row>
    <row r="16" spans="1:14" x14ac:dyDescent="0.3">
      <c r="A16" s="25" t="s">
        <v>858</v>
      </c>
      <c r="B16" s="9">
        <f>COUNTIF(J5:J12,"Pass")</f>
        <v>0</v>
      </c>
    </row>
    <row r="17" spans="1:2" x14ac:dyDescent="0.3">
      <c r="A17" s="25" t="s">
        <v>859</v>
      </c>
      <c r="B17" s="9">
        <f>COUNTIF(J5:J12,"Fail")</f>
        <v>0</v>
      </c>
    </row>
    <row r="18" spans="1:2" x14ac:dyDescent="0.3">
      <c r="A18" s="25" t="s">
        <v>860</v>
      </c>
      <c r="B18" s="26">
        <f>IF(B15=0,0,B16/B15)</f>
        <v>0</v>
      </c>
    </row>
    <row r="20" spans="1:2" x14ac:dyDescent="0.3">
      <c r="A20" s="27" t="s">
        <v>861</v>
      </c>
    </row>
  </sheetData>
  <dataValidations count="1">
    <dataValidation type="list" allowBlank="1" showErrorMessage="1" sqref="H5:J12" xr:uid="{00000000-0002-0000-0800-000000000000}">
      <formula1>"Not Run,Pass,Fail"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K2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8" customWidth="1"/>
    <col min="2" max="2" width="24" customWidth="1"/>
    <col min="3" max="3" width="44" customWidth="1"/>
    <col min="4" max="4" width="16" customWidth="1"/>
    <col min="5" max="5" width="22" customWidth="1"/>
    <col min="6" max="6" width="18" customWidth="1"/>
    <col min="7" max="8" width="11" customWidth="1"/>
    <col min="9" max="9" width="38" customWidth="1"/>
    <col min="10" max="10" width="34" customWidth="1"/>
    <col min="11" max="11" width="22" customWidth="1"/>
  </cols>
  <sheetData>
    <row r="1" spans="1:11" ht="17.399999999999999" x14ac:dyDescent="0.3">
      <c r="A1" s="3" t="s">
        <v>862</v>
      </c>
    </row>
    <row r="2" spans="1:11" x14ac:dyDescent="0.3">
      <c r="A2" s="4" t="s">
        <v>863</v>
      </c>
    </row>
    <row r="3" spans="1:11" x14ac:dyDescent="0.3">
      <c r="A3" s="14" t="s">
        <v>864</v>
      </c>
    </row>
    <row r="4" spans="1:11" ht="33.75" customHeight="1" x14ac:dyDescent="0.3">
      <c r="A4" s="16" t="s">
        <v>865</v>
      </c>
      <c r="B4" s="16" t="s">
        <v>866</v>
      </c>
      <c r="C4" s="16" t="s">
        <v>867</v>
      </c>
      <c r="D4" s="16" t="s">
        <v>868</v>
      </c>
      <c r="E4" s="16" t="s">
        <v>841</v>
      </c>
      <c r="F4" s="16" t="s">
        <v>842</v>
      </c>
      <c r="G4" s="16" t="s">
        <v>869</v>
      </c>
      <c r="H4" s="16" t="s">
        <v>870</v>
      </c>
      <c r="I4" s="16" t="s">
        <v>871</v>
      </c>
      <c r="J4" s="16" t="s">
        <v>872</v>
      </c>
      <c r="K4" s="16" t="s">
        <v>873</v>
      </c>
    </row>
    <row r="5" spans="1:11" x14ac:dyDescent="0.3">
      <c r="A5" s="17" t="s">
        <v>874</v>
      </c>
      <c r="B5" s="17" t="s">
        <v>875</v>
      </c>
      <c r="C5" s="17" t="s">
        <v>876</v>
      </c>
      <c r="D5" s="17" t="s">
        <v>251</v>
      </c>
      <c r="E5" s="17" t="s">
        <v>877</v>
      </c>
      <c r="F5" s="18" t="str">
        <f>'Cấu hình'!$B$11</f>
        <v>Châu Minh Tuệ</v>
      </c>
      <c r="G5" s="19" t="s">
        <v>369</v>
      </c>
      <c r="H5" s="19"/>
      <c r="I5" s="19"/>
      <c r="J5" s="19"/>
      <c r="K5" s="19"/>
    </row>
    <row r="6" spans="1:11" ht="22.8" x14ac:dyDescent="0.3">
      <c r="A6" s="17" t="s">
        <v>878</v>
      </c>
      <c r="B6" s="17" t="s">
        <v>879</v>
      </c>
      <c r="C6" s="17" t="s">
        <v>880</v>
      </c>
      <c r="D6" s="17" t="s">
        <v>256</v>
      </c>
      <c r="E6" s="17" t="s">
        <v>881</v>
      </c>
      <c r="F6" s="18" t="str">
        <f>'Cấu hình'!$B$11</f>
        <v>Châu Minh Tuệ</v>
      </c>
      <c r="G6" s="19" t="s">
        <v>369</v>
      </c>
      <c r="H6" s="19"/>
      <c r="I6" s="19"/>
      <c r="J6" s="19"/>
      <c r="K6" s="19"/>
    </row>
    <row r="7" spans="1:11" ht="22.8" x14ac:dyDescent="0.3">
      <c r="A7" s="17" t="s">
        <v>882</v>
      </c>
      <c r="B7" s="17" t="s">
        <v>883</v>
      </c>
      <c r="C7" s="17" t="s">
        <v>884</v>
      </c>
      <c r="D7" s="17" t="s">
        <v>260</v>
      </c>
      <c r="E7" s="17" t="s">
        <v>885</v>
      </c>
      <c r="F7" s="18" t="str">
        <f>'Cấu hình'!$B$11</f>
        <v>Châu Minh Tuệ</v>
      </c>
      <c r="G7" s="19" t="s">
        <v>369</v>
      </c>
      <c r="H7" s="19"/>
      <c r="I7" s="19"/>
      <c r="J7" s="19"/>
      <c r="K7" s="19"/>
    </row>
    <row r="8" spans="1:11" x14ac:dyDescent="0.3">
      <c r="A8" s="17" t="s">
        <v>886</v>
      </c>
      <c r="B8" s="17" t="s">
        <v>887</v>
      </c>
      <c r="C8" s="17" t="s">
        <v>888</v>
      </c>
      <c r="D8" s="17" t="s">
        <v>263</v>
      </c>
      <c r="E8" s="17" t="s">
        <v>889</v>
      </c>
      <c r="F8" s="18" t="str">
        <f>'Cấu hình'!$B$11</f>
        <v>Châu Minh Tuệ</v>
      </c>
      <c r="G8" s="19" t="s">
        <v>369</v>
      </c>
      <c r="H8" s="19"/>
      <c r="I8" s="19"/>
      <c r="J8" s="19"/>
      <c r="K8" s="19"/>
    </row>
    <row r="9" spans="1:11" x14ac:dyDescent="0.3">
      <c r="A9" s="17" t="s">
        <v>890</v>
      </c>
      <c r="B9" s="17" t="s">
        <v>891</v>
      </c>
      <c r="C9" s="17" t="s">
        <v>892</v>
      </c>
      <c r="D9" s="17" t="s">
        <v>893</v>
      </c>
      <c r="E9" s="17" t="s">
        <v>894</v>
      </c>
      <c r="F9" s="18" t="str">
        <f>'Cấu hình'!$B$11</f>
        <v>Châu Minh Tuệ</v>
      </c>
      <c r="G9" s="19" t="s">
        <v>369</v>
      </c>
      <c r="H9" s="19"/>
      <c r="I9" s="19"/>
      <c r="J9" s="19"/>
      <c r="K9" s="19"/>
    </row>
    <row r="10" spans="1:11" x14ac:dyDescent="0.3">
      <c r="A10" s="17" t="s">
        <v>895</v>
      </c>
      <c r="B10" s="17" t="s">
        <v>896</v>
      </c>
      <c r="C10" s="17" t="s">
        <v>897</v>
      </c>
      <c r="D10" s="17" t="s">
        <v>102</v>
      </c>
      <c r="E10" s="17" t="s">
        <v>898</v>
      </c>
      <c r="F10" s="18" t="str">
        <f>'Cấu hình'!$B$11</f>
        <v>Châu Minh Tuệ</v>
      </c>
      <c r="G10" s="19" t="s">
        <v>369</v>
      </c>
      <c r="H10" s="19"/>
      <c r="I10" s="19"/>
      <c r="J10" s="19"/>
      <c r="K10" s="19"/>
    </row>
    <row r="11" spans="1:11" ht="22.8" x14ac:dyDescent="0.3">
      <c r="A11" s="17" t="s">
        <v>899</v>
      </c>
      <c r="B11" s="17" t="s">
        <v>900</v>
      </c>
      <c r="C11" s="17" t="s">
        <v>901</v>
      </c>
      <c r="D11" s="17" t="s">
        <v>902</v>
      </c>
      <c r="E11" s="17" t="s">
        <v>903</v>
      </c>
      <c r="F11" s="18" t="str">
        <f>'Cấu hình'!$B$11</f>
        <v>Châu Minh Tuệ</v>
      </c>
      <c r="G11" s="19" t="s">
        <v>369</v>
      </c>
      <c r="H11" s="19"/>
      <c r="I11" s="19"/>
      <c r="J11" s="19"/>
      <c r="K11" s="19"/>
    </row>
    <row r="12" spans="1:11" ht="22.8" x14ac:dyDescent="0.3">
      <c r="A12" s="17" t="s">
        <v>904</v>
      </c>
      <c r="B12" s="17" t="s">
        <v>905</v>
      </c>
      <c r="C12" s="17" t="s">
        <v>906</v>
      </c>
      <c r="D12" s="17" t="s">
        <v>276</v>
      </c>
      <c r="E12" s="17" t="s">
        <v>907</v>
      </c>
      <c r="F12" s="18" t="str">
        <f>'Cấu hình'!$B$11</f>
        <v>Châu Minh Tuệ</v>
      </c>
      <c r="G12" s="19" t="s">
        <v>369</v>
      </c>
      <c r="H12" s="19"/>
      <c r="I12" s="19"/>
      <c r="J12" s="19"/>
      <c r="K12" s="19"/>
    </row>
    <row r="13" spans="1:11" x14ac:dyDescent="0.3">
      <c r="A13" s="17" t="s">
        <v>908</v>
      </c>
      <c r="B13" s="17" t="s">
        <v>909</v>
      </c>
      <c r="C13" s="17" t="s">
        <v>910</v>
      </c>
      <c r="D13" s="17" t="s">
        <v>114</v>
      </c>
      <c r="E13" s="17" t="s">
        <v>889</v>
      </c>
      <c r="F13" s="18" t="str">
        <f>'Cấu hình'!$B$11</f>
        <v>Châu Minh Tuệ</v>
      </c>
      <c r="G13" s="19" t="s">
        <v>369</v>
      </c>
      <c r="H13" s="19"/>
      <c r="I13" s="19"/>
      <c r="J13" s="19"/>
      <c r="K13" s="19"/>
    </row>
    <row r="14" spans="1:11" x14ac:dyDescent="0.3">
      <c r="A14" s="17" t="s">
        <v>911</v>
      </c>
      <c r="B14" s="17" t="s">
        <v>912</v>
      </c>
      <c r="C14" s="17" t="s">
        <v>913</v>
      </c>
      <c r="D14" s="17" t="s">
        <v>266</v>
      </c>
      <c r="E14" s="17" t="s">
        <v>889</v>
      </c>
      <c r="F14" s="18" t="str">
        <f>'Cấu hình'!$B$11</f>
        <v>Châu Minh Tuệ</v>
      </c>
      <c r="G14" s="19" t="s">
        <v>369</v>
      </c>
      <c r="H14" s="19"/>
      <c r="I14" s="19"/>
      <c r="J14" s="19"/>
      <c r="K14" s="19"/>
    </row>
    <row r="16" spans="1:11" x14ac:dyDescent="0.3">
      <c r="A16" s="14" t="s">
        <v>914</v>
      </c>
    </row>
    <row r="17" spans="1:11" ht="33.75" customHeight="1" x14ac:dyDescent="0.3">
      <c r="A17" s="16" t="s">
        <v>865</v>
      </c>
      <c r="B17" s="16" t="s">
        <v>915</v>
      </c>
      <c r="C17" s="16" t="s">
        <v>916</v>
      </c>
      <c r="D17" s="16" t="s">
        <v>841</v>
      </c>
      <c r="E17" s="16" t="s">
        <v>842</v>
      </c>
      <c r="F17" s="16" t="s">
        <v>917</v>
      </c>
      <c r="G17" s="16" t="s">
        <v>918</v>
      </c>
      <c r="H17" s="16" t="s">
        <v>919</v>
      </c>
      <c r="I17" s="16" t="s">
        <v>920</v>
      </c>
      <c r="J17" s="16" t="s">
        <v>921</v>
      </c>
      <c r="K17" s="16" t="s">
        <v>922</v>
      </c>
    </row>
    <row r="18" spans="1:11" x14ac:dyDescent="0.3">
      <c r="A18" s="17" t="s">
        <v>923</v>
      </c>
      <c r="B18" s="17" t="s">
        <v>924</v>
      </c>
      <c r="C18" s="17" t="s">
        <v>925</v>
      </c>
      <c r="D18" s="17" t="s">
        <v>926</v>
      </c>
      <c r="E18" s="18" t="str">
        <f>'Cấu hình'!$B$11</f>
        <v>Châu Minh Tuệ</v>
      </c>
      <c r="F18" s="19"/>
      <c r="G18" s="19"/>
      <c r="H18" s="19"/>
      <c r="I18" s="19"/>
      <c r="J18" s="19"/>
      <c r="K18" s="19"/>
    </row>
    <row r="19" spans="1:11" x14ac:dyDescent="0.3">
      <c r="A19" s="17" t="s">
        <v>927</v>
      </c>
      <c r="B19" s="17" t="s">
        <v>928</v>
      </c>
      <c r="C19" s="17" t="s">
        <v>925</v>
      </c>
      <c r="D19" s="17" t="s">
        <v>926</v>
      </c>
      <c r="E19" s="18" t="str">
        <f>'Cấu hình'!$B$11</f>
        <v>Châu Minh Tuệ</v>
      </c>
      <c r="F19" s="19"/>
      <c r="G19" s="19"/>
      <c r="H19" s="19"/>
      <c r="I19" s="19"/>
      <c r="J19" s="19"/>
      <c r="K19" s="19"/>
    </row>
    <row r="20" spans="1:11" x14ac:dyDescent="0.3">
      <c r="A20" s="17" t="s">
        <v>929</v>
      </c>
      <c r="B20" s="17" t="s">
        <v>930</v>
      </c>
      <c r="C20" s="17" t="s">
        <v>925</v>
      </c>
      <c r="D20" s="17" t="s">
        <v>926</v>
      </c>
      <c r="E20" s="18" t="str">
        <f>'Cấu hình'!$B$11</f>
        <v>Châu Minh Tuệ</v>
      </c>
      <c r="F20" s="19"/>
      <c r="G20" s="19"/>
      <c r="H20" s="19"/>
      <c r="I20" s="19"/>
      <c r="J20" s="19"/>
      <c r="K20" s="19"/>
    </row>
    <row r="21" spans="1:11" x14ac:dyDescent="0.3">
      <c r="A21" s="17" t="s">
        <v>931</v>
      </c>
      <c r="B21" s="17" t="s">
        <v>932</v>
      </c>
      <c r="C21" s="17" t="s">
        <v>933</v>
      </c>
      <c r="D21" s="17" t="s">
        <v>934</v>
      </c>
      <c r="E21" s="18" t="str">
        <f>'Cấu hình'!$B$11</f>
        <v>Châu Minh Tuệ</v>
      </c>
      <c r="F21" s="19"/>
      <c r="G21" s="19"/>
      <c r="H21" s="19"/>
      <c r="I21" s="19"/>
      <c r="J21" s="19"/>
      <c r="K21" s="19"/>
    </row>
    <row r="22" spans="1:11" x14ac:dyDescent="0.3">
      <c r="A22" s="17" t="s">
        <v>935</v>
      </c>
      <c r="B22" s="17" t="s">
        <v>936</v>
      </c>
      <c r="C22" s="17" t="s">
        <v>937</v>
      </c>
      <c r="D22" s="17" t="s">
        <v>934</v>
      </c>
      <c r="E22" s="18" t="str">
        <f>'Cấu hình'!$B$11</f>
        <v>Châu Minh Tuệ</v>
      </c>
      <c r="F22" s="19"/>
      <c r="G22" s="19"/>
      <c r="H22" s="19"/>
      <c r="I22" s="19"/>
      <c r="J22" s="19"/>
      <c r="K22" s="19"/>
    </row>
    <row r="23" spans="1:11" x14ac:dyDescent="0.3">
      <c r="A23" s="17" t="s">
        <v>938</v>
      </c>
      <c r="B23" s="17" t="s">
        <v>128</v>
      </c>
      <c r="C23" s="17" t="s">
        <v>939</v>
      </c>
      <c r="D23" s="17" t="s">
        <v>934</v>
      </c>
      <c r="E23" s="18" t="str">
        <f>'Cấu hình'!$B$11</f>
        <v>Châu Minh Tuệ</v>
      </c>
      <c r="F23" s="19"/>
      <c r="G23" s="19"/>
      <c r="H23" s="19"/>
      <c r="I23" s="19"/>
      <c r="J23" s="19"/>
      <c r="K23" s="19"/>
    </row>
    <row r="25" spans="1:11" x14ac:dyDescent="0.3">
      <c r="A25" s="27" t="s">
        <v>940</v>
      </c>
    </row>
  </sheetData>
  <dataValidations count="2">
    <dataValidation type="list" allowBlank="1" showErrorMessage="1" sqref="G5:G14" xr:uid="{00000000-0002-0000-0900-000000000000}">
      <formula1>"Not Run,Pass,Fail"</formula1>
      <formula2>0</formula2>
    </dataValidation>
    <dataValidation type="list" allowBlank="1" showErrorMessage="1" sqref="H5:H14" xr:uid="{00000000-0002-0000-0900-000001000000}">
      <formula1>"Cao,Trung bình,Thấp"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Q154"/>
  <sheetViews>
    <sheetView zoomScaleNormal="100" workbookViewId="0">
      <pane xSplit="5" ySplit="4" topLeftCell="F23" activePane="bottomRight" state="frozen"/>
      <selection pane="topRight" activeCell="F1" sqref="F1"/>
      <selection pane="bottomLeft" activeCell="A5" sqref="A5"/>
      <selection pane="bottomRight"/>
    </sheetView>
  </sheetViews>
  <sheetFormatPr defaultColWidth="8.6640625" defaultRowHeight="14.4" x14ac:dyDescent="0.3"/>
  <cols>
    <col min="1" max="1" width="10" customWidth="1"/>
    <col min="2" max="2" width="9" customWidth="1"/>
    <col min="3" max="3" width="20" customWidth="1"/>
    <col min="4" max="4" width="24" customWidth="1"/>
    <col min="5" max="5" width="36" customWidth="1"/>
    <col min="6" max="6" width="40" customWidth="1"/>
    <col min="7" max="8" width="30" customWidth="1"/>
    <col min="9" max="10" width="10" customWidth="1"/>
    <col min="11" max="11" width="11" customWidth="1"/>
    <col min="12" max="13" width="18" customWidth="1"/>
    <col min="14" max="15" width="12" customWidth="1"/>
    <col min="16" max="16" width="10" customWidth="1"/>
    <col min="17" max="17" width="24" customWidth="1"/>
  </cols>
  <sheetData>
    <row r="1" spans="1:17" ht="17.399999999999999" x14ac:dyDescent="0.3">
      <c r="A1" s="3" t="s">
        <v>941</v>
      </c>
    </row>
    <row r="2" spans="1:17" x14ac:dyDescent="0.3">
      <c r="A2" s="4" t="s">
        <v>942</v>
      </c>
    </row>
    <row r="4" spans="1:17" ht="33.75" customHeight="1" x14ac:dyDescent="0.3">
      <c r="A4" s="16" t="s">
        <v>360</v>
      </c>
      <c r="B4" s="16" t="s">
        <v>346</v>
      </c>
      <c r="C4" s="16" t="s">
        <v>943</v>
      </c>
      <c r="D4" s="16" t="s">
        <v>839</v>
      </c>
      <c r="E4" s="16" t="s">
        <v>944</v>
      </c>
      <c r="F4" s="16" t="s">
        <v>945</v>
      </c>
      <c r="G4" s="16" t="s">
        <v>359</v>
      </c>
      <c r="H4" s="16" t="s">
        <v>353</v>
      </c>
      <c r="I4" s="16" t="s">
        <v>946</v>
      </c>
      <c r="J4" s="16" t="s">
        <v>947</v>
      </c>
      <c r="K4" s="16" t="s">
        <v>80</v>
      </c>
      <c r="L4" s="16" t="s">
        <v>948</v>
      </c>
      <c r="M4" s="16" t="s">
        <v>949</v>
      </c>
      <c r="N4" s="16" t="s">
        <v>950</v>
      </c>
      <c r="O4" s="16" t="s">
        <v>951</v>
      </c>
      <c r="P4" s="16" t="s">
        <v>952</v>
      </c>
      <c r="Q4" s="16" t="s">
        <v>953</v>
      </c>
    </row>
    <row r="5" spans="1:17" x14ac:dyDescent="0.3">
      <c r="A5" s="17" t="s">
        <v>954</v>
      </c>
      <c r="B5" s="19"/>
      <c r="C5" s="18" t="str">
        <f>IF(B5="","",IFERROR(INDEX('Test Cases'!$C$5:$C$300,MATCH(B5,'Test Cases'!$A$5:$A$300,0)),""))</f>
        <v/>
      </c>
      <c r="D5" s="18" t="str">
        <f>IF(B5="","",IFERROR(INDEX('Test Cases'!$D$5:$D$300,MATCH(B5,'Test Cases'!$A$5:$A$300,0)),""))</f>
        <v/>
      </c>
      <c r="E5" s="19"/>
      <c r="F5" s="19"/>
      <c r="G5" s="19"/>
      <c r="H5" s="19"/>
      <c r="I5" s="19"/>
      <c r="J5" s="19"/>
      <c r="K5" s="19"/>
      <c r="L5" s="19"/>
      <c r="M5" s="19"/>
      <c r="N5" s="24"/>
      <c r="O5" s="24"/>
      <c r="P5" s="28" t="str">
        <f t="shared" ref="P5:P36" ca="1" si="0">IF(N5="","",IF(O5&lt;&gt;"",O5-N5,TODAY()-N5))</f>
        <v/>
      </c>
      <c r="Q5" s="19"/>
    </row>
    <row r="6" spans="1:17" x14ac:dyDescent="0.3">
      <c r="A6" s="17" t="s">
        <v>955</v>
      </c>
      <c r="B6" s="19"/>
      <c r="C6" s="18" t="str">
        <f>IF(B6="","",IFERROR(INDEX('Test Cases'!$C$5:$C$300,MATCH(B6,'Test Cases'!$A$5:$A$300,0)),""))</f>
        <v/>
      </c>
      <c r="D6" s="18" t="str">
        <f>IF(B6="","",IFERROR(INDEX('Test Cases'!$D$5:$D$300,MATCH(B6,'Test Cases'!$A$5:$A$300,0)),""))</f>
        <v/>
      </c>
      <c r="E6" s="19"/>
      <c r="F6" s="19"/>
      <c r="G6" s="19"/>
      <c r="H6" s="19"/>
      <c r="I6" s="19"/>
      <c r="J6" s="19"/>
      <c r="K6" s="19"/>
      <c r="L6" s="19"/>
      <c r="M6" s="19"/>
      <c r="N6" s="24"/>
      <c r="O6" s="24"/>
      <c r="P6" s="28" t="str">
        <f t="shared" ca="1" si="0"/>
        <v/>
      </c>
      <c r="Q6" s="19"/>
    </row>
    <row r="7" spans="1:17" x14ac:dyDescent="0.3">
      <c r="A7" s="17" t="s">
        <v>956</v>
      </c>
      <c r="B7" s="19"/>
      <c r="C7" s="18" t="str">
        <f>IF(B7="","",IFERROR(INDEX('Test Cases'!$C$5:$C$300,MATCH(B7,'Test Cases'!$A$5:$A$300,0)),""))</f>
        <v/>
      </c>
      <c r="D7" s="18" t="str">
        <f>IF(B7="","",IFERROR(INDEX('Test Cases'!$D$5:$D$300,MATCH(B7,'Test Cases'!$A$5:$A$300,0)),""))</f>
        <v/>
      </c>
      <c r="E7" s="19"/>
      <c r="F7" s="19"/>
      <c r="G7" s="19"/>
      <c r="H7" s="19"/>
      <c r="I7" s="19"/>
      <c r="J7" s="19"/>
      <c r="K7" s="19"/>
      <c r="L7" s="19"/>
      <c r="M7" s="19"/>
      <c r="N7" s="24"/>
      <c r="O7" s="24"/>
      <c r="P7" s="28" t="str">
        <f t="shared" ca="1" si="0"/>
        <v/>
      </c>
      <c r="Q7" s="19"/>
    </row>
    <row r="8" spans="1:17" x14ac:dyDescent="0.3">
      <c r="A8" s="17" t="s">
        <v>957</v>
      </c>
      <c r="B8" s="19"/>
      <c r="C8" s="18" t="str">
        <f>IF(B8="","",IFERROR(INDEX('Test Cases'!$C$5:$C$300,MATCH(B8,'Test Cases'!$A$5:$A$300,0)),""))</f>
        <v/>
      </c>
      <c r="D8" s="18" t="str">
        <f>IF(B8="","",IFERROR(INDEX('Test Cases'!$D$5:$D$300,MATCH(B8,'Test Cases'!$A$5:$A$300,0)),""))</f>
        <v/>
      </c>
      <c r="E8" s="19"/>
      <c r="F8" s="19"/>
      <c r="G8" s="19"/>
      <c r="H8" s="19"/>
      <c r="I8" s="19"/>
      <c r="J8" s="19"/>
      <c r="K8" s="19"/>
      <c r="L8" s="19"/>
      <c r="M8" s="19"/>
      <c r="N8" s="24"/>
      <c r="O8" s="24"/>
      <c r="P8" s="28" t="str">
        <f t="shared" ca="1" si="0"/>
        <v/>
      </c>
      <c r="Q8" s="19"/>
    </row>
    <row r="9" spans="1:17" x14ac:dyDescent="0.3">
      <c r="A9" s="17" t="s">
        <v>958</v>
      </c>
      <c r="B9" s="19"/>
      <c r="C9" s="18" t="str">
        <f>IF(B9="","",IFERROR(INDEX('Test Cases'!$C$5:$C$300,MATCH(B9,'Test Cases'!$A$5:$A$300,0)),""))</f>
        <v/>
      </c>
      <c r="D9" s="18" t="str">
        <f>IF(B9="","",IFERROR(INDEX('Test Cases'!$D$5:$D$300,MATCH(B9,'Test Cases'!$A$5:$A$300,0)),""))</f>
        <v/>
      </c>
      <c r="E9" s="19"/>
      <c r="F9" s="19"/>
      <c r="G9" s="19"/>
      <c r="H9" s="19"/>
      <c r="I9" s="19"/>
      <c r="J9" s="19"/>
      <c r="K9" s="19"/>
      <c r="L9" s="19"/>
      <c r="M9" s="19"/>
      <c r="N9" s="24"/>
      <c r="O9" s="24"/>
      <c r="P9" s="28" t="str">
        <f t="shared" ca="1" si="0"/>
        <v/>
      </c>
      <c r="Q9" s="19"/>
    </row>
    <row r="10" spans="1:17" x14ac:dyDescent="0.3">
      <c r="A10" s="17" t="s">
        <v>959</v>
      </c>
      <c r="B10" s="19"/>
      <c r="C10" s="18" t="str">
        <f>IF(B10="","",IFERROR(INDEX('Test Cases'!$C$5:$C$300,MATCH(B10,'Test Cases'!$A$5:$A$300,0)),""))</f>
        <v/>
      </c>
      <c r="D10" s="18" t="str">
        <f>IF(B10="","",IFERROR(INDEX('Test Cases'!$D$5:$D$300,MATCH(B10,'Test Cases'!$A$5:$A$300,0)),""))</f>
        <v/>
      </c>
      <c r="E10" s="19"/>
      <c r="F10" s="19"/>
      <c r="G10" s="19"/>
      <c r="H10" s="19"/>
      <c r="I10" s="19"/>
      <c r="J10" s="19"/>
      <c r="K10" s="19"/>
      <c r="L10" s="19"/>
      <c r="M10" s="19"/>
      <c r="N10" s="24"/>
      <c r="O10" s="24"/>
      <c r="P10" s="28" t="str">
        <f t="shared" ca="1" si="0"/>
        <v/>
      </c>
      <c r="Q10" s="19"/>
    </row>
    <row r="11" spans="1:17" x14ac:dyDescent="0.3">
      <c r="A11" s="17" t="s">
        <v>960</v>
      </c>
      <c r="B11" s="19"/>
      <c r="C11" s="18" t="str">
        <f>IF(B11="","",IFERROR(INDEX('Test Cases'!$C$5:$C$300,MATCH(B11,'Test Cases'!$A$5:$A$300,0)),""))</f>
        <v/>
      </c>
      <c r="D11" s="18" t="str">
        <f>IF(B11="","",IFERROR(INDEX('Test Cases'!$D$5:$D$300,MATCH(B11,'Test Cases'!$A$5:$A$300,0)),""))</f>
        <v/>
      </c>
      <c r="E11" s="19"/>
      <c r="F11" s="19"/>
      <c r="G11" s="19"/>
      <c r="H11" s="19"/>
      <c r="I11" s="19"/>
      <c r="J11" s="19"/>
      <c r="K11" s="19"/>
      <c r="L11" s="19"/>
      <c r="M11" s="19"/>
      <c r="N11" s="24"/>
      <c r="O11" s="24"/>
      <c r="P11" s="28" t="str">
        <f t="shared" ca="1" si="0"/>
        <v/>
      </c>
      <c r="Q11" s="19"/>
    </row>
    <row r="12" spans="1:17" x14ac:dyDescent="0.3">
      <c r="A12" s="17" t="s">
        <v>961</v>
      </c>
      <c r="B12" s="19"/>
      <c r="C12" s="18" t="str">
        <f>IF(B12="","",IFERROR(INDEX('Test Cases'!$C$5:$C$300,MATCH(B12,'Test Cases'!$A$5:$A$300,0)),""))</f>
        <v/>
      </c>
      <c r="D12" s="18" t="str">
        <f>IF(B12="","",IFERROR(INDEX('Test Cases'!$D$5:$D$300,MATCH(B12,'Test Cases'!$A$5:$A$300,0)),""))</f>
        <v/>
      </c>
      <c r="E12" s="19"/>
      <c r="F12" s="19"/>
      <c r="G12" s="19"/>
      <c r="H12" s="19"/>
      <c r="I12" s="19"/>
      <c r="J12" s="19"/>
      <c r="K12" s="19"/>
      <c r="L12" s="19"/>
      <c r="M12" s="19"/>
      <c r="N12" s="24"/>
      <c r="O12" s="24"/>
      <c r="P12" s="28" t="str">
        <f t="shared" ca="1" si="0"/>
        <v/>
      </c>
      <c r="Q12" s="19"/>
    </row>
    <row r="13" spans="1:17" x14ac:dyDescent="0.3">
      <c r="A13" s="17" t="s">
        <v>962</v>
      </c>
      <c r="B13" s="19"/>
      <c r="C13" s="18" t="str">
        <f>IF(B13="","",IFERROR(INDEX('Test Cases'!$C$5:$C$300,MATCH(B13,'Test Cases'!$A$5:$A$300,0)),""))</f>
        <v/>
      </c>
      <c r="D13" s="18" t="str">
        <f>IF(B13="","",IFERROR(INDEX('Test Cases'!$D$5:$D$300,MATCH(B13,'Test Cases'!$A$5:$A$300,0)),""))</f>
        <v/>
      </c>
      <c r="E13" s="19"/>
      <c r="F13" s="19"/>
      <c r="G13" s="19"/>
      <c r="H13" s="19"/>
      <c r="I13" s="19"/>
      <c r="J13" s="19"/>
      <c r="K13" s="19"/>
      <c r="L13" s="19"/>
      <c r="M13" s="19"/>
      <c r="N13" s="24"/>
      <c r="O13" s="24"/>
      <c r="P13" s="28" t="str">
        <f t="shared" ca="1" si="0"/>
        <v/>
      </c>
      <c r="Q13" s="19"/>
    </row>
    <row r="14" spans="1:17" x14ac:dyDescent="0.3">
      <c r="A14" s="17" t="s">
        <v>963</v>
      </c>
      <c r="B14" s="19"/>
      <c r="C14" s="18" t="str">
        <f>IF(B14="","",IFERROR(INDEX('Test Cases'!$C$5:$C$300,MATCH(B14,'Test Cases'!$A$5:$A$300,0)),""))</f>
        <v/>
      </c>
      <c r="D14" s="18" t="str">
        <f>IF(B14="","",IFERROR(INDEX('Test Cases'!$D$5:$D$300,MATCH(B14,'Test Cases'!$A$5:$A$300,0)),""))</f>
        <v/>
      </c>
      <c r="E14" s="19"/>
      <c r="F14" s="19"/>
      <c r="G14" s="19"/>
      <c r="H14" s="19"/>
      <c r="I14" s="19"/>
      <c r="J14" s="19"/>
      <c r="K14" s="19"/>
      <c r="L14" s="19"/>
      <c r="M14" s="19"/>
      <c r="N14" s="24"/>
      <c r="O14" s="24"/>
      <c r="P14" s="28" t="str">
        <f t="shared" ca="1" si="0"/>
        <v/>
      </c>
      <c r="Q14" s="19"/>
    </row>
    <row r="15" spans="1:17" x14ac:dyDescent="0.3">
      <c r="A15" s="17" t="s">
        <v>964</v>
      </c>
      <c r="B15" s="19"/>
      <c r="C15" s="18" t="str">
        <f>IF(B15="","",IFERROR(INDEX('Test Cases'!$C$5:$C$300,MATCH(B15,'Test Cases'!$A$5:$A$300,0)),""))</f>
        <v/>
      </c>
      <c r="D15" s="18" t="str">
        <f>IF(B15="","",IFERROR(INDEX('Test Cases'!$D$5:$D$300,MATCH(B15,'Test Cases'!$A$5:$A$300,0)),""))</f>
        <v/>
      </c>
      <c r="E15" s="19"/>
      <c r="F15" s="19"/>
      <c r="G15" s="19"/>
      <c r="H15" s="19"/>
      <c r="I15" s="19"/>
      <c r="J15" s="19"/>
      <c r="K15" s="19"/>
      <c r="L15" s="19"/>
      <c r="M15" s="19"/>
      <c r="N15" s="24"/>
      <c r="O15" s="24"/>
      <c r="P15" s="28" t="str">
        <f t="shared" ca="1" si="0"/>
        <v/>
      </c>
      <c r="Q15" s="19"/>
    </row>
    <row r="16" spans="1:17" x14ac:dyDescent="0.3">
      <c r="A16" s="17" t="s">
        <v>965</v>
      </c>
      <c r="B16" s="19"/>
      <c r="C16" s="18" t="str">
        <f>IF(B16="","",IFERROR(INDEX('Test Cases'!$C$5:$C$300,MATCH(B16,'Test Cases'!$A$5:$A$300,0)),""))</f>
        <v/>
      </c>
      <c r="D16" s="18" t="str">
        <f>IF(B16="","",IFERROR(INDEX('Test Cases'!$D$5:$D$300,MATCH(B16,'Test Cases'!$A$5:$A$300,0)),""))</f>
        <v/>
      </c>
      <c r="E16" s="19"/>
      <c r="F16" s="19"/>
      <c r="G16" s="19"/>
      <c r="H16" s="19"/>
      <c r="I16" s="19"/>
      <c r="J16" s="19"/>
      <c r="K16" s="19"/>
      <c r="L16" s="19"/>
      <c r="M16" s="19"/>
      <c r="N16" s="24"/>
      <c r="O16" s="24"/>
      <c r="P16" s="28" t="str">
        <f t="shared" ca="1" si="0"/>
        <v/>
      </c>
      <c r="Q16" s="19"/>
    </row>
    <row r="17" spans="1:17" x14ac:dyDescent="0.3">
      <c r="A17" s="17" t="s">
        <v>966</v>
      </c>
      <c r="B17" s="19"/>
      <c r="C17" s="18" t="str">
        <f>IF(B17="","",IFERROR(INDEX('Test Cases'!$C$5:$C$300,MATCH(B17,'Test Cases'!$A$5:$A$300,0)),""))</f>
        <v/>
      </c>
      <c r="D17" s="18" t="str">
        <f>IF(B17="","",IFERROR(INDEX('Test Cases'!$D$5:$D$300,MATCH(B17,'Test Cases'!$A$5:$A$300,0)),""))</f>
        <v/>
      </c>
      <c r="E17" s="19"/>
      <c r="F17" s="19"/>
      <c r="G17" s="19"/>
      <c r="H17" s="19"/>
      <c r="I17" s="19"/>
      <c r="J17" s="19"/>
      <c r="K17" s="19"/>
      <c r="L17" s="19"/>
      <c r="M17" s="19"/>
      <c r="N17" s="24"/>
      <c r="O17" s="24"/>
      <c r="P17" s="28" t="str">
        <f t="shared" ca="1" si="0"/>
        <v/>
      </c>
      <c r="Q17" s="19"/>
    </row>
    <row r="18" spans="1:17" x14ac:dyDescent="0.3">
      <c r="A18" s="17" t="s">
        <v>967</v>
      </c>
      <c r="B18" s="19"/>
      <c r="C18" s="18" t="str">
        <f>IF(B18="","",IFERROR(INDEX('Test Cases'!$C$5:$C$300,MATCH(B18,'Test Cases'!$A$5:$A$300,0)),""))</f>
        <v/>
      </c>
      <c r="D18" s="18" t="str">
        <f>IF(B18="","",IFERROR(INDEX('Test Cases'!$D$5:$D$300,MATCH(B18,'Test Cases'!$A$5:$A$300,0)),""))</f>
        <v/>
      </c>
      <c r="E18" s="19"/>
      <c r="F18" s="19"/>
      <c r="G18" s="19"/>
      <c r="H18" s="19"/>
      <c r="I18" s="19"/>
      <c r="J18" s="19"/>
      <c r="K18" s="19"/>
      <c r="L18" s="19"/>
      <c r="M18" s="19"/>
      <c r="N18" s="24"/>
      <c r="O18" s="24"/>
      <c r="P18" s="28" t="str">
        <f t="shared" ca="1" si="0"/>
        <v/>
      </c>
      <c r="Q18" s="19"/>
    </row>
    <row r="19" spans="1:17" x14ac:dyDescent="0.3">
      <c r="A19" s="17" t="s">
        <v>968</v>
      </c>
      <c r="B19" s="19"/>
      <c r="C19" s="18" t="str">
        <f>IF(B19="","",IFERROR(INDEX('Test Cases'!$C$5:$C$300,MATCH(B19,'Test Cases'!$A$5:$A$300,0)),""))</f>
        <v/>
      </c>
      <c r="D19" s="18" t="str">
        <f>IF(B19="","",IFERROR(INDEX('Test Cases'!$D$5:$D$300,MATCH(B19,'Test Cases'!$A$5:$A$300,0)),""))</f>
        <v/>
      </c>
      <c r="E19" s="19"/>
      <c r="F19" s="19"/>
      <c r="G19" s="19"/>
      <c r="H19" s="19"/>
      <c r="I19" s="19"/>
      <c r="J19" s="19"/>
      <c r="K19" s="19"/>
      <c r="L19" s="19"/>
      <c r="M19" s="19"/>
      <c r="N19" s="24"/>
      <c r="O19" s="24"/>
      <c r="P19" s="28" t="str">
        <f t="shared" ca="1" si="0"/>
        <v/>
      </c>
      <c r="Q19" s="19"/>
    </row>
    <row r="20" spans="1:17" x14ac:dyDescent="0.3">
      <c r="A20" s="17" t="s">
        <v>969</v>
      </c>
      <c r="B20" s="19"/>
      <c r="C20" s="18" t="str">
        <f>IF(B20="","",IFERROR(INDEX('Test Cases'!$C$5:$C$300,MATCH(B20,'Test Cases'!$A$5:$A$300,0)),""))</f>
        <v/>
      </c>
      <c r="D20" s="18" t="str">
        <f>IF(B20="","",IFERROR(INDEX('Test Cases'!$D$5:$D$300,MATCH(B20,'Test Cases'!$A$5:$A$300,0)),""))</f>
        <v/>
      </c>
      <c r="E20" s="19"/>
      <c r="F20" s="19"/>
      <c r="G20" s="19"/>
      <c r="H20" s="19"/>
      <c r="I20" s="19"/>
      <c r="J20" s="19"/>
      <c r="K20" s="19"/>
      <c r="L20" s="19"/>
      <c r="M20" s="19"/>
      <c r="N20" s="24"/>
      <c r="O20" s="24"/>
      <c r="P20" s="28" t="str">
        <f t="shared" ca="1" si="0"/>
        <v/>
      </c>
      <c r="Q20" s="19"/>
    </row>
    <row r="21" spans="1:17" x14ac:dyDescent="0.3">
      <c r="A21" s="17" t="s">
        <v>970</v>
      </c>
      <c r="B21" s="19"/>
      <c r="C21" s="18" t="str">
        <f>IF(B21="","",IFERROR(INDEX('Test Cases'!$C$5:$C$300,MATCH(B21,'Test Cases'!$A$5:$A$300,0)),""))</f>
        <v/>
      </c>
      <c r="D21" s="18" t="str">
        <f>IF(B21="","",IFERROR(INDEX('Test Cases'!$D$5:$D$300,MATCH(B21,'Test Cases'!$A$5:$A$300,0)),""))</f>
        <v/>
      </c>
      <c r="E21" s="19"/>
      <c r="F21" s="19"/>
      <c r="G21" s="19"/>
      <c r="H21" s="19"/>
      <c r="I21" s="19"/>
      <c r="J21" s="19"/>
      <c r="K21" s="19"/>
      <c r="L21" s="19"/>
      <c r="M21" s="19"/>
      <c r="N21" s="24"/>
      <c r="O21" s="24"/>
      <c r="P21" s="28" t="str">
        <f t="shared" ca="1" si="0"/>
        <v/>
      </c>
      <c r="Q21" s="19"/>
    </row>
    <row r="22" spans="1:17" x14ac:dyDescent="0.3">
      <c r="A22" s="17" t="s">
        <v>971</v>
      </c>
      <c r="B22" s="19"/>
      <c r="C22" s="18" t="str">
        <f>IF(B22="","",IFERROR(INDEX('Test Cases'!$C$5:$C$300,MATCH(B22,'Test Cases'!$A$5:$A$300,0)),""))</f>
        <v/>
      </c>
      <c r="D22" s="18" t="str">
        <f>IF(B22="","",IFERROR(INDEX('Test Cases'!$D$5:$D$300,MATCH(B22,'Test Cases'!$A$5:$A$300,0)),""))</f>
        <v/>
      </c>
      <c r="E22" s="19"/>
      <c r="F22" s="19"/>
      <c r="G22" s="19"/>
      <c r="H22" s="19"/>
      <c r="I22" s="19"/>
      <c r="J22" s="19"/>
      <c r="K22" s="19"/>
      <c r="L22" s="19"/>
      <c r="M22" s="19"/>
      <c r="N22" s="24"/>
      <c r="O22" s="24"/>
      <c r="P22" s="28" t="str">
        <f t="shared" ca="1" si="0"/>
        <v/>
      </c>
      <c r="Q22" s="19"/>
    </row>
    <row r="23" spans="1:17" x14ac:dyDescent="0.3">
      <c r="A23" s="17" t="s">
        <v>972</v>
      </c>
      <c r="B23" s="19"/>
      <c r="C23" s="18" t="str">
        <f>IF(B23="","",IFERROR(INDEX('Test Cases'!$C$5:$C$300,MATCH(B23,'Test Cases'!$A$5:$A$300,0)),""))</f>
        <v/>
      </c>
      <c r="D23" s="18" t="str">
        <f>IF(B23="","",IFERROR(INDEX('Test Cases'!$D$5:$D$300,MATCH(B23,'Test Cases'!$A$5:$A$300,0)),""))</f>
        <v/>
      </c>
      <c r="E23" s="19"/>
      <c r="F23" s="19"/>
      <c r="G23" s="19"/>
      <c r="H23" s="19"/>
      <c r="I23" s="19"/>
      <c r="J23" s="19"/>
      <c r="K23" s="19"/>
      <c r="L23" s="19"/>
      <c r="M23" s="19"/>
      <c r="N23" s="24"/>
      <c r="O23" s="24"/>
      <c r="P23" s="28" t="str">
        <f t="shared" ca="1" si="0"/>
        <v/>
      </c>
      <c r="Q23" s="19"/>
    </row>
    <row r="24" spans="1:17" x14ac:dyDescent="0.3">
      <c r="A24" s="17" t="s">
        <v>973</v>
      </c>
      <c r="B24" s="19"/>
      <c r="C24" s="18" t="str">
        <f>IF(B24="","",IFERROR(INDEX('Test Cases'!$C$5:$C$300,MATCH(B24,'Test Cases'!$A$5:$A$300,0)),""))</f>
        <v/>
      </c>
      <c r="D24" s="18" t="str">
        <f>IF(B24="","",IFERROR(INDEX('Test Cases'!$D$5:$D$300,MATCH(B24,'Test Cases'!$A$5:$A$300,0)),""))</f>
        <v/>
      </c>
      <c r="E24" s="19"/>
      <c r="F24" s="19"/>
      <c r="G24" s="19"/>
      <c r="H24" s="19"/>
      <c r="I24" s="19"/>
      <c r="J24" s="19"/>
      <c r="K24" s="19"/>
      <c r="L24" s="19"/>
      <c r="M24" s="19"/>
      <c r="N24" s="24"/>
      <c r="O24" s="24"/>
      <c r="P24" s="28" t="str">
        <f t="shared" ca="1" si="0"/>
        <v/>
      </c>
      <c r="Q24" s="19"/>
    </row>
    <row r="25" spans="1:17" x14ac:dyDescent="0.3">
      <c r="A25" s="17" t="s">
        <v>974</v>
      </c>
      <c r="B25" s="19"/>
      <c r="C25" s="18" t="str">
        <f>IF(B25="","",IFERROR(INDEX('Test Cases'!$C$5:$C$300,MATCH(B25,'Test Cases'!$A$5:$A$300,0)),""))</f>
        <v/>
      </c>
      <c r="D25" s="18" t="str">
        <f>IF(B25="","",IFERROR(INDEX('Test Cases'!$D$5:$D$300,MATCH(B25,'Test Cases'!$A$5:$A$300,0)),""))</f>
        <v/>
      </c>
      <c r="E25" s="19"/>
      <c r="F25" s="19"/>
      <c r="G25" s="19"/>
      <c r="H25" s="19"/>
      <c r="I25" s="19"/>
      <c r="J25" s="19"/>
      <c r="K25" s="19"/>
      <c r="L25" s="19"/>
      <c r="M25" s="19"/>
      <c r="N25" s="24"/>
      <c r="O25" s="24"/>
      <c r="P25" s="28" t="str">
        <f t="shared" ca="1" si="0"/>
        <v/>
      </c>
      <c r="Q25" s="19"/>
    </row>
    <row r="26" spans="1:17" x14ac:dyDescent="0.3">
      <c r="A26" s="17" t="s">
        <v>975</v>
      </c>
      <c r="B26" s="19"/>
      <c r="C26" s="18" t="str">
        <f>IF(B26="","",IFERROR(INDEX('Test Cases'!$C$5:$C$300,MATCH(B26,'Test Cases'!$A$5:$A$300,0)),""))</f>
        <v/>
      </c>
      <c r="D26" s="18" t="str">
        <f>IF(B26="","",IFERROR(INDEX('Test Cases'!$D$5:$D$300,MATCH(B26,'Test Cases'!$A$5:$A$300,0)),""))</f>
        <v/>
      </c>
      <c r="E26" s="19"/>
      <c r="F26" s="19"/>
      <c r="G26" s="19"/>
      <c r="H26" s="19"/>
      <c r="I26" s="19"/>
      <c r="J26" s="19"/>
      <c r="K26" s="19"/>
      <c r="L26" s="19"/>
      <c r="M26" s="19"/>
      <c r="N26" s="24"/>
      <c r="O26" s="24"/>
      <c r="P26" s="28" t="str">
        <f t="shared" ca="1" si="0"/>
        <v/>
      </c>
      <c r="Q26" s="19"/>
    </row>
    <row r="27" spans="1:17" x14ac:dyDescent="0.3">
      <c r="A27" s="17" t="s">
        <v>976</v>
      </c>
      <c r="B27" s="19"/>
      <c r="C27" s="18" t="str">
        <f>IF(B27="","",IFERROR(INDEX('Test Cases'!$C$5:$C$300,MATCH(B27,'Test Cases'!$A$5:$A$300,0)),""))</f>
        <v/>
      </c>
      <c r="D27" s="18" t="str">
        <f>IF(B27="","",IFERROR(INDEX('Test Cases'!$D$5:$D$300,MATCH(B27,'Test Cases'!$A$5:$A$300,0)),""))</f>
        <v/>
      </c>
      <c r="E27" s="19"/>
      <c r="F27" s="19"/>
      <c r="G27" s="19"/>
      <c r="H27" s="19"/>
      <c r="I27" s="19"/>
      <c r="J27" s="19"/>
      <c r="K27" s="19"/>
      <c r="L27" s="19"/>
      <c r="M27" s="19"/>
      <c r="N27" s="24"/>
      <c r="O27" s="24"/>
      <c r="P27" s="28" t="str">
        <f t="shared" ca="1" si="0"/>
        <v/>
      </c>
      <c r="Q27" s="19"/>
    </row>
    <row r="28" spans="1:17" x14ac:dyDescent="0.3">
      <c r="A28" s="17" t="s">
        <v>977</v>
      </c>
      <c r="B28" s="19"/>
      <c r="C28" s="18" t="str">
        <f>IF(B28="","",IFERROR(INDEX('Test Cases'!$C$5:$C$300,MATCH(B28,'Test Cases'!$A$5:$A$300,0)),""))</f>
        <v/>
      </c>
      <c r="D28" s="18" t="str">
        <f>IF(B28="","",IFERROR(INDEX('Test Cases'!$D$5:$D$300,MATCH(B28,'Test Cases'!$A$5:$A$300,0)),""))</f>
        <v/>
      </c>
      <c r="E28" s="19"/>
      <c r="F28" s="19"/>
      <c r="G28" s="19"/>
      <c r="H28" s="19"/>
      <c r="I28" s="19"/>
      <c r="J28" s="19"/>
      <c r="K28" s="19"/>
      <c r="L28" s="19"/>
      <c r="M28" s="19"/>
      <c r="N28" s="24"/>
      <c r="O28" s="24"/>
      <c r="P28" s="28" t="str">
        <f t="shared" ca="1" si="0"/>
        <v/>
      </c>
      <c r="Q28" s="19"/>
    </row>
    <row r="29" spans="1:17" x14ac:dyDescent="0.3">
      <c r="A29" s="17" t="s">
        <v>978</v>
      </c>
      <c r="B29" s="19"/>
      <c r="C29" s="18" t="str">
        <f>IF(B29="","",IFERROR(INDEX('Test Cases'!$C$5:$C$300,MATCH(B29,'Test Cases'!$A$5:$A$300,0)),""))</f>
        <v/>
      </c>
      <c r="D29" s="18" t="str">
        <f>IF(B29="","",IFERROR(INDEX('Test Cases'!$D$5:$D$300,MATCH(B29,'Test Cases'!$A$5:$A$300,0)),""))</f>
        <v/>
      </c>
      <c r="E29" s="19"/>
      <c r="F29" s="19"/>
      <c r="G29" s="19"/>
      <c r="H29" s="19"/>
      <c r="I29" s="19"/>
      <c r="J29" s="19"/>
      <c r="K29" s="19"/>
      <c r="L29" s="19"/>
      <c r="M29" s="19"/>
      <c r="N29" s="24"/>
      <c r="O29" s="24"/>
      <c r="P29" s="28" t="str">
        <f t="shared" ca="1" si="0"/>
        <v/>
      </c>
      <c r="Q29" s="19"/>
    </row>
    <row r="30" spans="1:17" x14ac:dyDescent="0.3">
      <c r="A30" s="17" t="s">
        <v>979</v>
      </c>
      <c r="B30" s="19"/>
      <c r="C30" s="18" t="str">
        <f>IF(B30="","",IFERROR(INDEX('Test Cases'!$C$5:$C$300,MATCH(B30,'Test Cases'!$A$5:$A$300,0)),""))</f>
        <v/>
      </c>
      <c r="D30" s="18" t="str">
        <f>IF(B30="","",IFERROR(INDEX('Test Cases'!$D$5:$D$300,MATCH(B30,'Test Cases'!$A$5:$A$300,0)),""))</f>
        <v/>
      </c>
      <c r="E30" s="19"/>
      <c r="F30" s="19"/>
      <c r="G30" s="19"/>
      <c r="H30" s="19"/>
      <c r="I30" s="19"/>
      <c r="J30" s="19"/>
      <c r="K30" s="19"/>
      <c r="L30" s="19"/>
      <c r="M30" s="19"/>
      <c r="N30" s="24"/>
      <c r="O30" s="24"/>
      <c r="P30" s="28" t="str">
        <f t="shared" ca="1" si="0"/>
        <v/>
      </c>
      <c r="Q30" s="19"/>
    </row>
    <row r="31" spans="1:17" x14ac:dyDescent="0.3">
      <c r="A31" s="17" t="s">
        <v>980</v>
      </c>
      <c r="B31" s="19"/>
      <c r="C31" s="18" t="str">
        <f>IF(B31="","",IFERROR(INDEX('Test Cases'!$C$5:$C$300,MATCH(B31,'Test Cases'!$A$5:$A$300,0)),""))</f>
        <v/>
      </c>
      <c r="D31" s="18" t="str">
        <f>IF(B31="","",IFERROR(INDEX('Test Cases'!$D$5:$D$300,MATCH(B31,'Test Cases'!$A$5:$A$300,0)),""))</f>
        <v/>
      </c>
      <c r="E31" s="19"/>
      <c r="F31" s="19"/>
      <c r="G31" s="19"/>
      <c r="H31" s="19"/>
      <c r="I31" s="19"/>
      <c r="J31" s="19"/>
      <c r="K31" s="19"/>
      <c r="L31" s="19"/>
      <c r="M31" s="19"/>
      <c r="N31" s="24"/>
      <c r="O31" s="24"/>
      <c r="P31" s="28" t="str">
        <f t="shared" ca="1" si="0"/>
        <v/>
      </c>
      <c r="Q31" s="19"/>
    </row>
    <row r="32" spans="1:17" x14ac:dyDescent="0.3">
      <c r="A32" s="17" t="s">
        <v>981</v>
      </c>
      <c r="B32" s="19"/>
      <c r="C32" s="18" t="str">
        <f>IF(B32="","",IFERROR(INDEX('Test Cases'!$C$5:$C$300,MATCH(B32,'Test Cases'!$A$5:$A$300,0)),""))</f>
        <v/>
      </c>
      <c r="D32" s="18" t="str">
        <f>IF(B32="","",IFERROR(INDEX('Test Cases'!$D$5:$D$300,MATCH(B32,'Test Cases'!$A$5:$A$300,0)),""))</f>
        <v/>
      </c>
      <c r="E32" s="19"/>
      <c r="F32" s="19"/>
      <c r="G32" s="19"/>
      <c r="H32" s="19"/>
      <c r="I32" s="19"/>
      <c r="J32" s="19"/>
      <c r="K32" s="19"/>
      <c r="L32" s="19"/>
      <c r="M32" s="19"/>
      <c r="N32" s="24"/>
      <c r="O32" s="24"/>
      <c r="P32" s="28" t="str">
        <f t="shared" ca="1" si="0"/>
        <v/>
      </c>
      <c r="Q32" s="19"/>
    </row>
    <row r="33" spans="1:17" x14ac:dyDescent="0.3">
      <c r="A33" s="17" t="s">
        <v>982</v>
      </c>
      <c r="B33" s="19"/>
      <c r="C33" s="18" t="str">
        <f>IF(B33="","",IFERROR(INDEX('Test Cases'!$C$5:$C$300,MATCH(B33,'Test Cases'!$A$5:$A$300,0)),""))</f>
        <v/>
      </c>
      <c r="D33" s="18" t="str">
        <f>IF(B33="","",IFERROR(INDEX('Test Cases'!$D$5:$D$300,MATCH(B33,'Test Cases'!$A$5:$A$300,0)),""))</f>
        <v/>
      </c>
      <c r="E33" s="19"/>
      <c r="F33" s="19"/>
      <c r="G33" s="19"/>
      <c r="H33" s="19"/>
      <c r="I33" s="19"/>
      <c r="J33" s="19"/>
      <c r="K33" s="19"/>
      <c r="L33" s="19"/>
      <c r="M33" s="19"/>
      <c r="N33" s="24"/>
      <c r="O33" s="24"/>
      <c r="P33" s="28" t="str">
        <f t="shared" ca="1" si="0"/>
        <v/>
      </c>
      <c r="Q33" s="19"/>
    </row>
    <row r="34" spans="1:17" x14ac:dyDescent="0.3">
      <c r="A34" s="17" t="s">
        <v>983</v>
      </c>
      <c r="B34" s="19"/>
      <c r="C34" s="18" t="str">
        <f>IF(B34="","",IFERROR(INDEX('Test Cases'!$C$5:$C$300,MATCH(B34,'Test Cases'!$A$5:$A$300,0)),""))</f>
        <v/>
      </c>
      <c r="D34" s="18" t="str">
        <f>IF(B34="","",IFERROR(INDEX('Test Cases'!$D$5:$D$300,MATCH(B34,'Test Cases'!$A$5:$A$300,0)),""))</f>
        <v/>
      </c>
      <c r="E34" s="19"/>
      <c r="F34" s="19"/>
      <c r="G34" s="19"/>
      <c r="H34" s="19"/>
      <c r="I34" s="19"/>
      <c r="J34" s="19"/>
      <c r="K34" s="19"/>
      <c r="L34" s="19"/>
      <c r="M34" s="19"/>
      <c r="N34" s="24"/>
      <c r="O34" s="24"/>
      <c r="P34" s="28" t="str">
        <f t="shared" ca="1" si="0"/>
        <v/>
      </c>
      <c r="Q34" s="19"/>
    </row>
    <row r="35" spans="1:17" x14ac:dyDescent="0.3">
      <c r="A35" s="17" t="s">
        <v>984</v>
      </c>
      <c r="B35" s="19"/>
      <c r="C35" s="18" t="str">
        <f>IF(B35="","",IFERROR(INDEX('Test Cases'!$C$5:$C$300,MATCH(B35,'Test Cases'!$A$5:$A$300,0)),""))</f>
        <v/>
      </c>
      <c r="D35" s="18" t="str">
        <f>IF(B35="","",IFERROR(INDEX('Test Cases'!$D$5:$D$300,MATCH(B35,'Test Cases'!$A$5:$A$300,0)),""))</f>
        <v/>
      </c>
      <c r="E35" s="19"/>
      <c r="F35" s="19"/>
      <c r="G35" s="19"/>
      <c r="H35" s="19"/>
      <c r="I35" s="19"/>
      <c r="J35" s="19"/>
      <c r="K35" s="19"/>
      <c r="L35" s="19"/>
      <c r="M35" s="19"/>
      <c r="N35" s="24"/>
      <c r="O35" s="24"/>
      <c r="P35" s="28" t="str">
        <f t="shared" ca="1" si="0"/>
        <v/>
      </c>
      <c r="Q35" s="19"/>
    </row>
    <row r="36" spans="1:17" x14ac:dyDescent="0.3">
      <c r="A36" s="17" t="s">
        <v>985</v>
      </c>
      <c r="B36" s="19"/>
      <c r="C36" s="18" t="str">
        <f>IF(B36="","",IFERROR(INDEX('Test Cases'!$C$5:$C$300,MATCH(B36,'Test Cases'!$A$5:$A$300,0)),""))</f>
        <v/>
      </c>
      <c r="D36" s="18" t="str">
        <f>IF(B36="","",IFERROR(INDEX('Test Cases'!$D$5:$D$300,MATCH(B36,'Test Cases'!$A$5:$A$300,0)),""))</f>
        <v/>
      </c>
      <c r="E36" s="19"/>
      <c r="F36" s="19"/>
      <c r="G36" s="19"/>
      <c r="H36" s="19"/>
      <c r="I36" s="19"/>
      <c r="J36" s="19"/>
      <c r="K36" s="19"/>
      <c r="L36" s="19"/>
      <c r="M36" s="19"/>
      <c r="N36" s="24"/>
      <c r="O36" s="24"/>
      <c r="P36" s="28" t="str">
        <f t="shared" ca="1" si="0"/>
        <v/>
      </c>
      <c r="Q36" s="19"/>
    </row>
    <row r="37" spans="1:17" x14ac:dyDescent="0.3">
      <c r="A37" s="17" t="s">
        <v>986</v>
      </c>
      <c r="B37" s="19"/>
      <c r="C37" s="18" t="str">
        <f>IF(B37="","",IFERROR(INDEX('Test Cases'!$C$5:$C$300,MATCH(B37,'Test Cases'!$A$5:$A$300,0)),""))</f>
        <v/>
      </c>
      <c r="D37" s="18" t="str">
        <f>IF(B37="","",IFERROR(INDEX('Test Cases'!$D$5:$D$300,MATCH(B37,'Test Cases'!$A$5:$A$300,0)),""))</f>
        <v/>
      </c>
      <c r="E37" s="19"/>
      <c r="F37" s="19"/>
      <c r="G37" s="19"/>
      <c r="H37" s="19"/>
      <c r="I37" s="19"/>
      <c r="J37" s="19"/>
      <c r="K37" s="19"/>
      <c r="L37" s="19"/>
      <c r="M37" s="19"/>
      <c r="N37" s="24"/>
      <c r="O37" s="24"/>
      <c r="P37" s="28" t="str">
        <f t="shared" ref="P37:P68" ca="1" si="1">IF(N37="","",IF(O37&lt;&gt;"",O37-N37,TODAY()-N37))</f>
        <v/>
      </c>
      <c r="Q37" s="19"/>
    </row>
    <row r="38" spans="1:17" x14ac:dyDescent="0.3">
      <c r="A38" s="17" t="s">
        <v>987</v>
      </c>
      <c r="B38" s="19"/>
      <c r="C38" s="18" t="str">
        <f>IF(B38="","",IFERROR(INDEX('Test Cases'!$C$5:$C$300,MATCH(B38,'Test Cases'!$A$5:$A$300,0)),""))</f>
        <v/>
      </c>
      <c r="D38" s="18" t="str">
        <f>IF(B38="","",IFERROR(INDEX('Test Cases'!$D$5:$D$300,MATCH(B38,'Test Cases'!$A$5:$A$300,0)),""))</f>
        <v/>
      </c>
      <c r="E38" s="19"/>
      <c r="F38" s="19"/>
      <c r="G38" s="19"/>
      <c r="H38" s="19"/>
      <c r="I38" s="19"/>
      <c r="J38" s="19"/>
      <c r="K38" s="19"/>
      <c r="L38" s="19"/>
      <c r="M38" s="19"/>
      <c r="N38" s="24"/>
      <c r="O38" s="24"/>
      <c r="P38" s="28" t="str">
        <f t="shared" ca="1" si="1"/>
        <v/>
      </c>
      <c r="Q38" s="19"/>
    </row>
    <row r="39" spans="1:17" x14ac:dyDescent="0.3">
      <c r="A39" s="17" t="s">
        <v>988</v>
      </c>
      <c r="B39" s="19"/>
      <c r="C39" s="18" t="str">
        <f>IF(B39="","",IFERROR(INDEX('Test Cases'!$C$5:$C$300,MATCH(B39,'Test Cases'!$A$5:$A$300,0)),""))</f>
        <v/>
      </c>
      <c r="D39" s="18" t="str">
        <f>IF(B39="","",IFERROR(INDEX('Test Cases'!$D$5:$D$300,MATCH(B39,'Test Cases'!$A$5:$A$300,0)),""))</f>
        <v/>
      </c>
      <c r="E39" s="19"/>
      <c r="F39" s="19"/>
      <c r="G39" s="19"/>
      <c r="H39" s="19"/>
      <c r="I39" s="19"/>
      <c r="J39" s="19"/>
      <c r="K39" s="19"/>
      <c r="L39" s="19"/>
      <c r="M39" s="19"/>
      <c r="N39" s="24"/>
      <c r="O39" s="24"/>
      <c r="P39" s="28" t="str">
        <f t="shared" ca="1" si="1"/>
        <v/>
      </c>
      <c r="Q39" s="19"/>
    </row>
    <row r="40" spans="1:17" x14ac:dyDescent="0.3">
      <c r="A40" s="17" t="s">
        <v>989</v>
      </c>
      <c r="B40" s="19"/>
      <c r="C40" s="18" t="str">
        <f>IF(B40="","",IFERROR(INDEX('Test Cases'!$C$5:$C$300,MATCH(B40,'Test Cases'!$A$5:$A$300,0)),""))</f>
        <v/>
      </c>
      <c r="D40" s="18" t="str">
        <f>IF(B40="","",IFERROR(INDEX('Test Cases'!$D$5:$D$300,MATCH(B40,'Test Cases'!$A$5:$A$300,0)),""))</f>
        <v/>
      </c>
      <c r="E40" s="19"/>
      <c r="F40" s="19"/>
      <c r="G40" s="19"/>
      <c r="H40" s="19"/>
      <c r="I40" s="19"/>
      <c r="J40" s="19"/>
      <c r="K40" s="19"/>
      <c r="L40" s="19"/>
      <c r="M40" s="19"/>
      <c r="N40" s="24"/>
      <c r="O40" s="24"/>
      <c r="P40" s="28" t="str">
        <f t="shared" ca="1" si="1"/>
        <v/>
      </c>
      <c r="Q40" s="19"/>
    </row>
    <row r="41" spans="1:17" x14ac:dyDescent="0.3">
      <c r="A41" s="17" t="s">
        <v>990</v>
      </c>
      <c r="B41" s="19"/>
      <c r="C41" s="18" t="str">
        <f>IF(B41="","",IFERROR(INDEX('Test Cases'!$C$5:$C$300,MATCH(B41,'Test Cases'!$A$5:$A$300,0)),""))</f>
        <v/>
      </c>
      <c r="D41" s="18" t="str">
        <f>IF(B41="","",IFERROR(INDEX('Test Cases'!$D$5:$D$300,MATCH(B41,'Test Cases'!$A$5:$A$300,0)),""))</f>
        <v/>
      </c>
      <c r="E41" s="19"/>
      <c r="F41" s="19"/>
      <c r="G41" s="19"/>
      <c r="H41" s="19"/>
      <c r="I41" s="19"/>
      <c r="J41" s="19"/>
      <c r="K41" s="19"/>
      <c r="L41" s="19"/>
      <c r="M41" s="19"/>
      <c r="N41" s="24"/>
      <c r="O41" s="24"/>
      <c r="P41" s="28" t="str">
        <f t="shared" ca="1" si="1"/>
        <v/>
      </c>
      <c r="Q41" s="19"/>
    </row>
    <row r="42" spans="1:17" x14ac:dyDescent="0.3">
      <c r="A42" s="17" t="s">
        <v>991</v>
      </c>
      <c r="B42" s="19"/>
      <c r="C42" s="18" t="str">
        <f>IF(B42="","",IFERROR(INDEX('Test Cases'!$C$5:$C$300,MATCH(B42,'Test Cases'!$A$5:$A$300,0)),""))</f>
        <v/>
      </c>
      <c r="D42" s="18" t="str">
        <f>IF(B42="","",IFERROR(INDEX('Test Cases'!$D$5:$D$300,MATCH(B42,'Test Cases'!$A$5:$A$300,0)),""))</f>
        <v/>
      </c>
      <c r="E42" s="19"/>
      <c r="F42" s="19"/>
      <c r="G42" s="19"/>
      <c r="H42" s="19"/>
      <c r="I42" s="19"/>
      <c r="J42" s="19"/>
      <c r="K42" s="19"/>
      <c r="L42" s="19"/>
      <c r="M42" s="19"/>
      <c r="N42" s="24"/>
      <c r="O42" s="24"/>
      <c r="P42" s="28" t="str">
        <f t="shared" ca="1" si="1"/>
        <v/>
      </c>
      <c r="Q42" s="19"/>
    </row>
    <row r="43" spans="1:17" x14ac:dyDescent="0.3">
      <c r="A43" s="17" t="s">
        <v>992</v>
      </c>
      <c r="B43" s="19"/>
      <c r="C43" s="18" t="str">
        <f>IF(B43="","",IFERROR(INDEX('Test Cases'!$C$5:$C$300,MATCH(B43,'Test Cases'!$A$5:$A$300,0)),""))</f>
        <v/>
      </c>
      <c r="D43" s="18" t="str">
        <f>IF(B43="","",IFERROR(INDEX('Test Cases'!$D$5:$D$300,MATCH(B43,'Test Cases'!$A$5:$A$300,0)),""))</f>
        <v/>
      </c>
      <c r="E43" s="19"/>
      <c r="F43" s="19"/>
      <c r="G43" s="19"/>
      <c r="H43" s="19"/>
      <c r="I43" s="19"/>
      <c r="J43" s="19"/>
      <c r="K43" s="19"/>
      <c r="L43" s="19"/>
      <c r="M43" s="19"/>
      <c r="N43" s="24"/>
      <c r="O43" s="24"/>
      <c r="P43" s="28" t="str">
        <f t="shared" ca="1" si="1"/>
        <v/>
      </c>
      <c r="Q43" s="19"/>
    </row>
    <row r="44" spans="1:17" x14ac:dyDescent="0.3">
      <c r="A44" s="17" t="s">
        <v>993</v>
      </c>
      <c r="B44" s="19"/>
      <c r="C44" s="18" t="str">
        <f>IF(B44="","",IFERROR(INDEX('Test Cases'!$C$5:$C$300,MATCH(B44,'Test Cases'!$A$5:$A$300,0)),""))</f>
        <v/>
      </c>
      <c r="D44" s="18" t="str">
        <f>IF(B44="","",IFERROR(INDEX('Test Cases'!$D$5:$D$300,MATCH(B44,'Test Cases'!$A$5:$A$300,0)),""))</f>
        <v/>
      </c>
      <c r="E44" s="19"/>
      <c r="F44" s="19"/>
      <c r="G44" s="19"/>
      <c r="H44" s="19"/>
      <c r="I44" s="19"/>
      <c r="J44" s="19"/>
      <c r="K44" s="19"/>
      <c r="L44" s="19"/>
      <c r="M44" s="19"/>
      <c r="N44" s="24"/>
      <c r="O44" s="24"/>
      <c r="P44" s="28" t="str">
        <f t="shared" ca="1" si="1"/>
        <v/>
      </c>
      <c r="Q44" s="19"/>
    </row>
    <row r="45" spans="1:17" x14ac:dyDescent="0.3">
      <c r="A45" s="17" t="s">
        <v>994</v>
      </c>
      <c r="B45" s="19"/>
      <c r="C45" s="18" t="str">
        <f>IF(B45="","",IFERROR(INDEX('Test Cases'!$C$5:$C$300,MATCH(B45,'Test Cases'!$A$5:$A$300,0)),""))</f>
        <v/>
      </c>
      <c r="D45" s="18" t="str">
        <f>IF(B45="","",IFERROR(INDEX('Test Cases'!$D$5:$D$300,MATCH(B45,'Test Cases'!$A$5:$A$300,0)),""))</f>
        <v/>
      </c>
      <c r="E45" s="19"/>
      <c r="F45" s="19"/>
      <c r="G45" s="19"/>
      <c r="H45" s="19"/>
      <c r="I45" s="19"/>
      <c r="J45" s="19"/>
      <c r="K45" s="19"/>
      <c r="L45" s="19"/>
      <c r="M45" s="19"/>
      <c r="N45" s="24"/>
      <c r="O45" s="24"/>
      <c r="P45" s="28" t="str">
        <f t="shared" ca="1" si="1"/>
        <v/>
      </c>
      <c r="Q45" s="19"/>
    </row>
    <row r="46" spans="1:17" x14ac:dyDescent="0.3">
      <c r="A46" s="17" t="s">
        <v>995</v>
      </c>
      <c r="B46" s="19"/>
      <c r="C46" s="18" t="str">
        <f>IF(B46="","",IFERROR(INDEX('Test Cases'!$C$5:$C$300,MATCH(B46,'Test Cases'!$A$5:$A$300,0)),""))</f>
        <v/>
      </c>
      <c r="D46" s="18" t="str">
        <f>IF(B46="","",IFERROR(INDEX('Test Cases'!$D$5:$D$300,MATCH(B46,'Test Cases'!$A$5:$A$300,0)),""))</f>
        <v/>
      </c>
      <c r="E46" s="19"/>
      <c r="F46" s="19"/>
      <c r="G46" s="19"/>
      <c r="H46" s="19"/>
      <c r="I46" s="19"/>
      <c r="J46" s="19"/>
      <c r="K46" s="19"/>
      <c r="L46" s="19"/>
      <c r="M46" s="19"/>
      <c r="N46" s="24"/>
      <c r="O46" s="24"/>
      <c r="P46" s="28" t="str">
        <f t="shared" ca="1" si="1"/>
        <v/>
      </c>
      <c r="Q46" s="19"/>
    </row>
    <row r="47" spans="1:17" x14ac:dyDescent="0.3">
      <c r="A47" s="17" t="s">
        <v>996</v>
      </c>
      <c r="B47" s="19"/>
      <c r="C47" s="18" t="str">
        <f>IF(B47="","",IFERROR(INDEX('Test Cases'!$C$5:$C$300,MATCH(B47,'Test Cases'!$A$5:$A$300,0)),""))</f>
        <v/>
      </c>
      <c r="D47" s="18" t="str">
        <f>IF(B47="","",IFERROR(INDEX('Test Cases'!$D$5:$D$300,MATCH(B47,'Test Cases'!$A$5:$A$300,0)),""))</f>
        <v/>
      </c>
      <c r="E47" s="19"/>
      <c r="F47" s="19"/>
      <c r="G47" s="19"/>
      <c r="H47" s="19"/>
      <c r="I47" s="19"/>
      <c r="J47" s="19"/>
      <c r="K47" s="19"/>
      <c r="L47" s="19"/>
      <c r="M47" s="19"/>
      <c r="N47" s="24"/>
      <c r="O47" s="24"/>
      <c r="P47" s="28" t="str">
        <f t="shared" ca="1" si="1"/>
        <v/>
      </c>
      <c r="Q47" s="19"/>
    </row>
    <row r="48" spans="1:17" x14ac:dyDescent="0.3">
      <c r="A48" s="17" t="s">
        <v>997</v>
      </c>
      <c r="B48" s="19"/>
      <c r="C48" s="18" t="str">
        <f>IF(B48="","",IFERROR(INDEX('Test Cases'!$C$5:$C$300,MATCH(B48,'Test Cases'!$A$5:$A$300,0)),""))</f>
        <v/>
      </c>
      <c r="D48" s="18" t="str">
        <f>IF(B48="","",IFERROR(INDEX('Test Cases'!$D$5:$D$300,MATCH(B48,'Test Cases'!$A$5:$A$300,0)),""))</f>
        <v/>
      </c>
      <c r="E48" s="19"/>
      <c r="F48" s="19"/>
      <c r="G48" s="19"/>
      <c r="H48" s="19"/>
      <c r="I48" s="19"/>
      <c r="J48" s="19"/>
      <c r="K48" s="19"/>
      <c r="L48" s="19"/>
      <c r="M48" s="19"/>
      <c r="N48" s="24"/>
      <c r="O48" s="24"/>
      <c r="P48" s="28" t="str">
        <f t="shared" ca="1" si="1"/>
        <v/>
      </c>
      <c r="Q48" s="19"/>
    </row>
    <row r="49" spans="1:17" x14ac:dyDescent="0.3">
      <c r="A49" s="17" t="s">
        <v>998</v>
      </c>
      <c r="B49" s="19"/>
      <c r="C49" s="18" t="str">
        <f>IF(B49="","",IFERROR(INDEX('Test Cases'!$C$5:$C$300,MATCH(B49,'Test Cases'!$A$5:$A$300,0)),""))</f>
        <v/>
      </c>
      <c r="D49" s="18" t="str">
        <f>IF(B49="","",IFERROR(INDEX('Test Cases'!$D$5:$D$300,MATCH(B49,'Test Cases'!$A$5:$A$300,0)),""))</f>
        <v/>
      </c>
      <c r="E49" s="19"/>
      <c r="F49" s="19"/>
      <c r="G49" s="19"/>
      <c r="H49" s="19"/>
      <c r="I49" s="19"/>
      <c r="J49" s="19"/>
      <c r="K49" s="19"/>
      <c r="L49" s="19"/>
      <c r="M49" s="19"/>
      <c r="N49" s="24"/>
      <c r="O49" s="24"/>
      <c r="P49" s="28" t="str">
        <f t="shared" ca="1" si="1"/>
        <v/>
      </c>
      <c r="Q49" s="19"/>
    </row>
    <row r="50" spans="1:17" x14ac:dyDescent="0.3">
      <c r="A50" s="17" t="s">
        <v>999</v>
      </c>
      <c r="B50" s="19"/>
      <c r="C50" s="18" t="str">
        <f>IF(B50="","",IFERROR(INDEX('Test Cases'!$C$5:$C$300,MATCH(B50,'Test Cases'!$A$5:$A$300,0)),""))</f>
        <v/>
      </c>
      <c r="D50" s="18" t="str">
        <f>IF(B50="","",IFERROR(INDEX('Test Cases'!$D$5:$D$300,MATCH(B50,'Test Cases'!$A$5:$A$300,0)),""))</f>
        <v/>
      </c>
      <c r="E50" s="19"/>
      <c r="F50" s="19"/>
      <c r="G50" s="19"/>
      <c r="H50" s="19"/>
      <c r="I50" s="19"/>
      <c r="J50" s="19"/>
      <c r="K50" s="19"/>
      <c r="L50" s="19"/>
      <c r="M50" s="19"/>
      <c r="N50" s="24"/>
      <c r="O50" s="24"/>
      <c r="P50" s="28" t="str">
        <f t="shared" ca="1" si="1"/>
        <v/>
      </c>
      <c r="Q50" s="19"/>
    </row>
    <row r="51" spans="1:17" x14ac:dyDescent="0.3">
      <c r="A51" s="17" t="s">
        <v>1000</v>
      </c>
      <c r="B51" s="19"/>
      <c r="C51" s="18" t="str">
        <f>IF(B51="","",IFERROR(INDEX('Test Cases'!$C$5:$C$300,MATCH(B51,'Test Cases'!$A$5:$A$300,0)),""))</f>
        <v/>
      </c>
      <c r="D51" s="18" t="str">
        <f>IF(B51="","",IFERROR(INDEX('Test Cases'!$D$5:$D$300,MATCH(B51,'Test Cases'!$A$5:$A$300,0)),""))</f>
        <v/>
      </c>
      <c r="E51" s="19"/>
      <c r="F51" s="19"/>
      <c r="G51" s="19"/>
      <c r="H51" s="19"/>
      <c r="I51" s="19"/>
      <c r="J51" s="19"/>
      <c r="K51" s="19"/>
      <c r="L51" s="19"/>
      <c r="M51" s="19"/>
      <c r="N51" s="24"/>
      <c r="O51" s="24"/>
      <c r="P51" s="28" t="str">
        <f t="shared" ca="1" si="1"/>
        <v/>
      </c>
      <c r="Q51" s="19"/>
    </row>
    <row r="52" spans="1:17" x14ac:dyDescent="0.3">
      <c r="A52" s="17" t="s">
        <v>1001</v>
      </c>
      <c r="B52" s="19"/>
      <c r="C52" s="18" t="str">
        <f>IF(B52="","",IFERROR(INDEX('Test Cases'!$C$5:$C$300,MATCH(B52,'Test Cases'!$A$5:$A$300,0)),""))</f>
        <v/>
      </c>
      <c r="D52" s="18" t="str">
        <f>IF(B52="","",IFERROR(INDEX('Test Cases'!$D$5:$D$300,MATCH(B52,'Test Cases'!$A$5:$A$300,0)),""))</f>
        <v/>
      </c>
      <c r="E52" s="19"/>
      <c r="F52" s="19"/>
      <c r="G52" s="19"/>
      <c r="H52" s="19"/>
      <c r="I52" s="19"/>
      <c r="J52" s="19"/>
      <c r="K52" s="19"/>
      <c r="L52" s="19"/>
      <c r="M52" s="19"/>
      <c r="N52" s="24"/>
      <c r="O52" s="24"/>
      <c r="P52" s="28" t="str">
        <f t="shared" ca="1" si="1"/>
        <v/>
      </c>
      <c r="Q52" s="19"/>
    </row>
    <row r="53" spans="1:17" x14ac:dyDescent="0.3">
      <c r="A53" s="17" t="s">
        <v>1002</v>
      </c>
      <c r="B53" s="19"/>
      <c r="C53" s="18" t="str">
        <f>IF(B53="","",IFERROR(INDEX('Test Cases'!$C$5:$C$300,MATCH(B53,'Test Cases'!$A$5:$A$300,0)),""))</f>
        <v/>
      </c>
      <c r="D53" s="18" t="str">
        <f>IF(B53="","",IFERROR(INDEX('Test Cases'!$D$5:$D$300,MATCH(B53,'Test Cases'!$A$5:$A$300,0)),""))</f>
        <v/>
      </c>
      <c r="E53" s="19"/>
      <c r="F53" s="19"/>
      <c r="G53" s="19"/>
      <c r="H53" s="19"/>
      <c r="I53" s="19"/>
      <c r="J53" s="19"/>
      <c r="K53" s="19"/>
      <c r="L53" s="19"/>
      <c r="M53" s="19"/>
      <c r="N53" s="24"/>
      <c r="O53" s="24"/>
      <c r="P53" s="28" t="str">
        <f t="shared" ca="1" si="1"/>
        <v/>
      </c>
      <c r="Q53" s="19"/>
    </row>
    <row r="54" spans="1:17" x14ac:dyDescent="0.3">
      <c r="A54" s="17" t="s">
        <v>1003</v>
      </c>
      <c r="B54" s="19"/>
      <c r="C54" s="18" t="str">
        <f>IF(B54="","",IFERROR(INDEX('Test Cases'!$C$5:$C$300,MATCH(B54,'Test Cases'!$A$5:$A$300,0)),""))</f>
        <v/>
      </c>
      <c r="D54" s="18" t="str">
        <f>IF(B54="","",IFERROR(INDEX('Test Cases'!$D$5:$D$300,MATCH(B54,'Test Cases'!$A$5:$A$300,0)),""))</f>
        <v/>
      </c>
      <c r="E54" s="19"/>
      <c r="F54" s="19"/>
      <c r="G54" s="19"/>
      <c r="H54" s="19"/>
      <c r="I54" s="19"/>
      <c r="J54" s="19"/>
      <c r="K54" s="19"/>
      <c r="L54" s="19"/>
      <c r="M54" s="19"/>
      <c r="N54" s="24"/>
      <c r="O54" s="24"/>
      <c r="P54" s="28" t="str">
        <f t="shared" ca="1" si="1"/>
        <v/>
      </c>
      <c r="Q54" s="19"/>
    </row>
    <row r="55" spans="1:17" x14ac:dyDescent="0.3">
      <c r="A55" s="17" t="s">
        <v>1004</v>
      </c>
      <c r="B55" s="19"/>
      <c r="C55" s="18" t="str">
        <f>IF(B55="","",IFERROR(INDEX('Test Cases'!$C$5:$C$300,MATCH(B55,'Test Cases'!$A$5:$A$300,0)),""))</f>
        <v/>
      </c>
      <c r="D55" s="18" t="str">
        <f>IF(B55="","",IFERROR(INDEX('Test Cases'!$D$5:$D$300,MATCH(B55,'Test Cases'!$A$5:$A$300,0)),""))</f>
        <v/>
      </c>
      <c r="E55" s="19"/>
      <c r="F55" s="19"/>
      <c r="G55" s="19"/>
      <c r="H55" s="19"/>
      <c r="I55" s="19"/>
      <c r="J55" s="19"/>
      <c r="K55" s="19"/>
      <c r="L55" s="19"/>
      <c r="M55" s="19"/>
      <c r="N55" s="24"/>
      <c r="O55" s="24"/>
      <c r="P55" s="28" t="str">
        <f t="shared" ca="1" si="1"/>
        <v/>
      </c>
      <c r="Q55" s="19"/>
    </row>
    <row r="56" spans="1:17" x14ac:dyDescent="0.3">
      <c r="A56" s="17" t="s">
        <v>1005</v>
      </c>
      <c r="B56" s="19"/>
      <c r="C56" s="18" t="str">
        <f>IF(B56="","",IFERROR(INDEX('Test Cases'!$C$5:$C$300,MATCH(B56,'Test Cases'!$A$5:$A$300,0)),""))</f>
        <v/>
      </c>
      <c r="D56" s="18" t="str">
        <f>IF(B56="","",IFERROR(INDEX('Test Cases'!$D$5:$D$300,MATCH(B56,'Test Cases'!$A$5:$A$300,0)),""))</f>
        <v/>
      </c>
      <c r="E56" s="19"/>
      <c r="F56" s="19"/>
      <c r="G56" s="19"/>
      <c r="H56" s="19"/>
      <c r="I56" s="19"/>
      <c r="J56" s="19"/>
      <c r="K56" s="19"/>
      <c r="L56" s="19"/>
      <c r="M56" s="19"/>
      <c r="N56" s="24"/>
      <c r="O56" s="24"/>
      <c r="P56" s="28" t="str">
        <f t="shared" ca="1" si="1"/>
        <v/>
      </c>
      <c r="Q56" s="19"/>
    </row>
    <row r="57" spans="1:17" x14ac:dyDescent="0.3">
      <c r="A57" s="17" t="s">
        <v>1006</v>
      </c>
      <c r="B57" s="19"/>
      <c r="C57" s="18" t="str">
        <f>IF(B57="","",IFERROR(INDEX('Test Cases'!$C$5:$C$300,MATCH(B57,'Test Cases'!$A$5:$A$300,0)),""))</f>
        <v/>
      </c>
      <c r="D57" s="18" t="str">
        <f>IF(B57="","",IFERROR(INDEX('Test Cases'!$D$5:$D$300,MATCH(B57,'Test Cases'!$A$5:$A$300,0)),""))</f>
        <v/>
      </c>
      <c r="E57" s="19"/>
      <c r="F57" s="19"/>
      <c r="G57" s="19"/>
      <c r="H57" s="19"/>
      <c r="I57" s="19"/>
      <c r="J57" s="19"/>
      <c r="K57" s="19"/>
      <c r="L57" s="19"/>
      <c r="M57" s="19"/>
      <c r="N57" s="24"/>
      <c r="O57" s="24"/>
      <c r="P57" s="28" t="str">
        <f t="shared" ca="1" si="1"/>
        <v/>
      </c>
      <c r="Q57" s="19"/>
    </row>
    <row r="58" spans="1:17" x14ac:dyDescent="0.3">
      <c r="A58" s="17" t="s">
        <v>1007</v>
      </c>
      <c r="B58" s="19"/>
      <c r="C58" s="18" t="str">
        <f>IF(B58="","",IFERROR(INDEX('Test Cases'!$C$5:$C$300,MATCH(B58,'Test Cases'!$A$5:$A$300,0)),""))</f>
        <v/>
      </c>
      <c r="D58" s="18" t="str">
        <f>IF(B58="","",IFERROR(INDEX('Test Cases'!$D$5:$D$300,MATCH(B58,'Test Cases'!$A$5:$A$300,0)),""))</f>
        <v/>
      </c>
      <c r="E58" s="19"/>
      <c r="F58" s="19"/>
      <c r="G58" s="19"/>
      <c r="H58" s="19"/>
      <c r="I58" s="19"/>
      <c r="J58" s="19"/>
      <c r="K58" s="19"/>
      <c r="L58" s="19"/>
      <c r="M58" s="19"/>
      <c r="N58" s="24"/>
      <c r="O58" s="24"/>
      <c r="P58" s="28" t="str">
        <f t="shared" ca="1" si="1"/>
        <v/>
      </c>
      <c r="Q58" s="19"/>
    </row>
    <row r="59" spans="1:17" x14ac:dyDescent="0.3">
      <c r="A59" s="17" t="s">
        <v>1008</v>
      </c>
      <c r="B59" s="19"/>
      <c r="C59" s="18" t="str">
        <f>IF(B59="","",IFERROR(INDEX('Test Cases'!$C$5:$C$300,MATCH(B59,'Test Cases'!$A$5:$A$300,0)),""))</f>
        <v/>
      </c>
      <c r="D59" s="18" t="str">
        <f>IF(B59="","",IFERROR(INDEX('Test Cases'!$D$5:$D$300,MATCH(B59,'Test Cases'!$A$5:$A$300,0)),""))</f>
        <v/>
      </c>
      <c r="E59" s="19"/>
      <c r="F59" s="19"/>
      <c r="G59" s="19"/>
      <c r="H59" s="19"/>
      <c r="I59" s="19"/>
      <c r="J59" s="19"/>
      <c r="K59" s="19"/>
      <c r="L59" s="19"/>
      <c r="M59" s="19"/>
      <c r="N59" s="24"/>
      <c r="O59" s="24"/>
      <c r="P59" s="28" t="str">
        <f t="shared" ca="1" si="1"/>
        <v/>
      </c>
      <c r="Q59" s="19"/>
    </row>
    <row r="60" spans="1:17" x14ac:dyDescent="0.3">
      <c r="A60" s="17" t="s">
        <v>1009</v>
      </c>
      <c r="B60" s="19"/>
      <c r="C60" s="18" t="str">
        <f>IF(B60="","",IFERROR(INDEX('Test Cases'!$C$5:$C$300,MATCH(B60,'Test Cases'!$A$5:$A$300,0)),""))</f>
        <v/>
      </c>
      <c r="D60" s="18" t="str">
        <f>IF(B60="","",IFERROR(INDEX('Test Cases'!$D$5:$D$300,MATCH(B60,'Test Cases'!$A$5:$A$300,0)),""))</f>
        <v/>
      </c>
      <c r="E60" s="19"/>
      <c r="F60" s="19"/>
      <c r="G60" s="19"/>
      <c r="H60" s="19"/>
      <c r="I60" s="19"/>
      <c r="J60" s="19"/>
      <c r="K60" s="19"/>
      <c r="L60" s="19"/>
      <c r="M60" s="19"/>
      <c r="N60" s="24"/>
      <c r="O60" s="24"/>
      <c r="P60" s="28" t="str">
        <f t="shared" ca="1" si="1"/>
        <v/>
      </c>
      <c r="Q60" s="19"/>
    </row>
    <row r="61" spans="1:17" x14ac:dyDescent="0.3">
      <c r="A61" s="17" t="s">
        <v>1010</v>
      </c>
      <c r="B61" s="19"/>
      <c r="C61" s="18" t="str">
        <f>IF(B61="","",IFERROR(INDEX('Test Cases'!$C$5:$C$300,MATCH(B61,'Test Cases'!$A$5:$A$300,0)),""))</f>
        <v/>
      </c>
      <c r="D61" s="18" t="str">
        <f>IF(B61="","",IFERROR(INDEX('Test Cases'!$D$5:$D$300,MATCH(B61,'Test Cases'!$A$5:$A$300,0)),""))</f>
        <v/>
      </c>
      <c r="E61" s="19"/>
      <c r="F61" s="19"/>
      <c r="G61" s="19"/>
      <c r="H61" s="19"/>
      <c r="I61" s="19"/>
      <c r="J61" s="19"/>
      <c r="K61" s="19"/>
      <c r="L61" s="19"/>
      <c r="M61" s="19"/>
      <c r="N61" s="24"/>
      <c r="O61" s="24"/>
      <c r="P61" s="28" t="str">
        <f t="shared" ca="1" si="1"/>
        <v/>
      </c>
      <c r="Q61" s="19"/>
    </row>
    <row r="62" spans="1:17" x14ac:dyDescent="0.3">
      <c r="A62" s="17" t="s">
        <v>1011</v>
      </c>
      <c r="B62" s="19"/>
      <c r="C62" s="18" t="str">
        <f>IF(B62="","",IFERROR(INDEX('Test Cases'!$C$5:$C$300,MATCH(B62,'Test Cases'!$A$5:$A$300,0)),""))</f>
        <v/>
      </c>
      <c r="D62" s="18" t="str">
        <f>IF(B62="","",IFERROR(INDEX('Test Cases'!$D$5:$D$300,MATCH(B62,'Test Cases'!$A$5:$A$300,0)),""))</f>
        <v/>
      </c>
      <c r="E62" s="19"/>
      <c r="F62" s="19"/>
      <c r="G62" s="19"/>
      <c r="H62" s="19"/>
      <c r="I62" s="19"/>
      <c r="J62" s="19"/>
      <c r="K62" s="19"/>
      <c r="L62" s="19"/>
      <c r="M62" s="19"/>
      <c r="N62" s="24"/>
      <c r="O62" s="24"/>
      <c r="P62" s="28" t="str">
        <f t="shared" ca="1" si="1"/>
        <v/>
      </c>
      <c r="Q62" s="19"/>
    </row>
    <row r="63" spans="1:17" x14ac:dyDescent="0.3">
      <c r="A63" s="17" t="s">
        <v>1012</v>
      </c>
      <c r="B63" s="19"/>
      <c r="C63" s="18" t="str">
        <f>IF(B63="","",IFERROR(INDEX('Test Cases'!$C$5:$C$300,MATCH(B63,'Test Cases'!$A$5:$A$300,0)),""))</f>
        <v/>
      </c>
      <c r="D63" s="18" t="str">
        <f>IF(B63="","",IFERROR(INDEX('Test Cases'!$D$5:$D$300,MATCH(B63,'Test Cases'!$A$5:$A$300,0)),""))</f>
        <v/>
      </c>
      <c r="E63" s="19"/>
      <c r="F63" s="19"/>
      <c r="G63" s="19"/>
      <c r="H63" s="19"/>
      <c r="I63" s="19"/>
      <c r="J63" s="19"/>
      <c r="K63" s="19"/>
      <c r="L63" s="19"/>
      <c r="M63" s="19"/>
      <c r="N63" s="24"/>
      <c r="O63" s="24"/>
      <c r="P63" s="28" t="str">
        <f t="shared" ca="1" si="1"/>
        <v/>
      </c>
      <c r="Q63" s="19"/>
    </row>
    <row r="64" spans="1:17" x14ac:dyDescent="0.3">
      <c r="A64" s="17" t="s">
        <v>1013</v>
      </c>
      <c r="B64" s="19"/>
      <c r="C64" s="18" t="str">
        <f>IF(B64="","",IFERROR(INDEX('Test Cases'!$C$5:$C$300,MATCH(B64,'Test Cases'!$A$5:$A$300,0)),""))</f>
        <v/>
      </c>
      <c r="D64" s="18" t="str">
        <f>IF(B64="","",IFERROR(INDEX('Test Cases'!$D$5:$D$300,MATCH(B64,'Test Cases'!$A$5:$A$300,0)),""))</f>
        <v/>
      </c>
      <c r="E64" s="19"/>
      <c r="F64" s="19"/>
      <c r="G64" s="19"/>
      <c r="H64" s="19"/>
      <c r="I64" s="19"/>
      <c r="J64" s="19"/>
      <c r="K64" s="19"/>
      <c r="L64" s="19"/>
      <c r="M64" s="19"/>
      <c r="N64" s="24"/>
      <c r="O64" s="24"/>
      <c r="P64" s="28" t="str">
        <f t="shared" ca="1" si="1"/>
        <v/>
      </c>
      <c r="Q64" s="19"/>
    </row>
    <row r="65" spans="1:17" x14ac:dyDescent="0.3">
      <c r="A65" s="17" t="s">
        <v>1014</v>
      </c>
      <c r="B65" s="19"/>
      <c r="C65" s="18" t="str">
        <f>IF(B65="","",IFERROR(INDEX('Test Cases'!$C$5:$C$300,MATCH(B65,'Test Cases'!$A$5:$A$300,0)),""))</f>
        <v/>
      </c>
      <c r="D65" s="18" t="str">
        <f>IF(B65="","",IFERROR(INDEX('Test Cases'!$D$5:$D$300,MATCH(B65,'Test Cases'!$A$5:$A$300,0)),""))</f>
        <v/>
      </c>
      <c r="E65" s="19"/>
      <c r="F65" s="19"/>
      <c r="G65" s="19"/>
      <c r="H65" s="19"/>
      <c r="I65" s="19"/>
      <c r="J65" s="19"/>
      <c r="K65" s="19"/>
      <c r="L65" s="19"/>
      <c r="M65" s="19"/>
      <c r="N65" s="24"/>
      <c r="O65" s="24"/>
      <c r="P65" s="28" t="str">
        <f t="shared" ca="1" si="1"/>
        <v/>
      </c>
      <c r="Q65" s="19"/>
    </row>
    <row r="66" spans="1:17" x14ac:dyDescent="0.3">
      <c r="A66" s="17" t="s">
        <v>1015</v>
      </c>
      <c r="B66" s="19"/>
      <c r="C66" s="18" t="str">
        <f>IF(B66="","",IFERROR(INDEX('Test Cases'!$C$5:$C$300,MATCH(B66,'Test Cases'!$A$5:$A$300,0)),""))</f>
        <v/>
      </c>
      <c r="D66" s="18" t="str">
        <f>IF(B66="","",IFERROR(INDEX('Test Cases'!$D$5:$D$300,MATCH(B66,'Test Cases'!$A$5:$A$300,0)),""))</f>
        <v/>
      </c>
      <c r="E66" s="19"/>
      <c r="F66" s="19"/>
      <c r="G66" s="19"/>
      <c r="H66" s="19"/>
      <c r="I66" s="19"/>
      <c r="J66" s="19"/>
      <c r="K66" s="19"/>
      <c r="L66" s="19"/>
      <c r="M66" s="19"/>
      <c r="N66" s="24"/>
      <c r="O66" s="24"/>
      <c r="P66" s="28" t="str">
        <f t="shared" ca="1" si="1"/>
        <v/>
      </c>
      <c r="Q66" s="19"/>
    </row>
    <row r="67" spans="1:17" x14ac:dyDescent="0.3">
      <c r="A67" s="17" t="s">
        <v>1016</v>
      </c>
      <c r="B67" s="19"/>
      <c r="C67" s="18" t="str">
        <f>IF(B67="","",IFERROR(INDEX('Test Cases'!$C$5:$C$300,MATCH(B67,'Test Cases'!$A$5:$A$300,0)),""))</f>
        <v/>
      </c>
      <c r="D67" s="18" t="str">
        <f>IF(B67="","",IFERROR(INDEX('Test Cases'!$D$5:$D$300,MATCH(B67,'Test Cases'!$A$5:$A$300,0)),""))</f>
        <v/>
      </c>
      <c r="E67" s="19"/>
      <c r="F67" s="19"/>
      <c r="G67" s="19"/>
      <c r="H67" s="19"/>
      <c r="I67" s="19"/>
      <c r="J67" s="19"/>
      <c r="K67" s="19"/>
      <c r="L67" s="19"/>
      <c r="M67" s="19"/>
      <c r="N67" s="24"/>
      <c r="O67" s="24"/>
      <c r="P67" s="28" t="str">
        <f t="shared" ca="1" si="1"/>
        <v/>
      </c>
      <c r="Q67" s="19"/>
    </row>
    <row r="68" spans="1:17" x14ac:dyDescent="0.3">
      <c r="A68" s="17" t="s">
        <v>1017</v>
      </c>
      <c r="B68" s="19"/>
      <c r="C68" s="18" t="str">
        <f>IF(B68="","",IFERROR(INDEX('Test Cases'!$C$5:$C$300,MATCH(B68,'Test Cases'!$A$5:$A$300,0)),""))</f>
        <v/>
      </c>
      <c r="D68" s="18" t="str">
        <f>IF(B68="","",IFERROR(INDEX('Test Cases'!$D$5:$D$300,MATCH(B68,'Test Cases'!$A$5:$A$300,0)),""))</f>
        <v/>
      </c>
      <c r="E68" s="19"/>
      <c r="F68" s="19"/>
      <c r="G68" s="19"/>
      <c r="H68" s="19"/>
      <c r="I68" s="19"/>
      <c r="J68" s="19"/>
      <c r="K68" s="19"/>
      <c r="L68" s="19"/>
      <c r="M68" s="19"/>
      <c r="N68" s="24"/>
      <c r="O68" s="24"/>
      <c r="P68" s="28" t="str">
        <f t="shared" ca="1" si="1"/>
        <v/>
      </c>
      <c r="Q68" s="19"/>
    </row>
    <row r="69" spans="1:17" x14ac:dyDescent="0.3">
      <c r="A69" s="17" t="s">
        <v>1018</v>
      </c>
      <c r="B69" s="19"/>
      <c r="C69" s="18" t="str">
        <f>IF(B69="","",IFERROR(INDEX('Test Cases'!$C$5:$C$300,MATCH(B69,'Test Cases'!$A$5:$A$300,0)),""))</f>
        <v/>
      </c>
      <c r="D69" s="18" t="str">
        <f>IF(B69="","",IFERROR(INDEX('Test Cases'!$D$5:$D$300,MATCH(B69,'Test Cases'!$A$5:$A$300,0)),""))</f>
        <v/>
      </c>
      <c r="E69" s="19"/>
      <c r="F69" s="19"/>
      <c r="G69" s="19"/>
      <c r="H69" s="19"/>
      <c r="I69" s="19"/>
      <c r="J69" s="19"/>
      <c r="K69" s="19"/>
      <c r="L69" s="19"/>
      <c r="M69" s="19"/>
      <c r="N69" s="24"/>
      <c r="O69" s="24"/>
      <c r="P69" s="28" t="str">
        <f t="shared" ref="P69:P100" ca="1" si="2">IF(N69="","",IF(O69&lt;&gt;"",O69-N69,TODAY()-N69))</f>
        <v/>
      </c>
      <c r="Q69" s="19"/>
    </row>
    <row r="70" spans="1:17" x14ac:dyDescent="0.3">
      <c r="A70" s="17" t="s">
        <v>1019</v>
      </c>
      <c r="B70" s="19"/>
      <c r="C70" s="18" t="str">
        <f>IF(B70="","",IFERROR(INDEX('Test Cases'!$C$5:$C$300,MATCH(B70,'Test Cases'!$A$5:$A$300,0)),""))</f>
        <v/>
      </c>
      <c r="D70" s="18" t="str">
        <f>IF(B70="","",IFERROR(INDEX('Test Cases'!$D$5:$D$300,MATCH(B70,'Test Cases'!$A$5:$A$300,0)),""))</f>
        <v/>
      </c>
      <c r="E70" s="19"/>
      <c r="F70" s="19"/>
      <c r="G70" s="19"/>
      <c r="H70" s="19"/>
      <c r="I70" s="19"/>
      <c r="J70" s="19"/>
      <c r="K70" s="19"/>
      <c r="L70" s="19"/>
      <c r="M70" s="19"/>
      <c r="N70" s="24"/>
      <c r="O70" s="24"/>
      <c r="P70" s="28" t="str">
        <f t="shared" ca="1" si="2"/>
        <v/>
      </c>
      <c r="Q70" s="19"/>
    </row>
    <row r="71" spans="1:17" x14ac:dyDescent="0.3">
      <c r="A71" s="17" t="s">
        <v>1020</v>
      </c>
      <c r="B71" s="19"/>
      <c r="C71" s="18" t="str">
        <f>IF(B71="","",IFERROR(INDEX('Test Cases'!$C$5:$C$300,MATCH(B71,'Test Cases'!$A$5:$A$300,0)),""))</f>
        <v/>
      </c>
      <c r="D71" s="18" t="str">
        <f>IF(B71="","",IFERROR(INDEX('Test Cases'!$D$5:$D$300,MATCH(B71,'Test Cases'!$A$5:$A$300,0)),""))</f>
        <v/>
      </c>
      <c r="E71" s="19"/>
      <c r="F71" s="19"/>
      <c r="G71" s="19"/>
      <c r="H71" s="19"/>
      <c r="I71" s="19"/>
      <c r="J71" s="19"/>
      <c r="K71" s="19"/>
      <c r="L71" s="19"/>
      <c r="M71" s="19"/>
      <c r="N71" s="24"/>
      <c r="O71" s="24"/>
      <c r="P71" s="28" t="str">
        <f t="shared" ca="1" si="2"/>
        <v/>
      </c>
      <c r="Q71" s="19"/>
    </row>
    <row r="72" spans="1:17" x14ac:dyDescent="0.3">
      <c r="A72" s="17" t="s">
        <v>1021</v>
      </c>
      <c r="B72" s="19"/>
      <c r="C72" s="18" t="str">
        <f>IF(B72="","",IFERROR(INDEX('Test Cases'!$C$5:$C$300,MATCH(B72,'Test Cases'!$A$5:$A$300,0)),""))</f>
        <v/>
      </c>
      <c r="D72" s="18" t="str">
        <f>IF(B72="","",IFERROR(INDEX('Test Cases'!$D$5:$D$300,MATCH(B72,'Test Cases'!$A$5:$A$300,0)),""))</f>
        <v/>
      </c>
      <c r="E72" s="19"/>
      <c r="F72" s="19"/>
      <c r="G72" s="19"/>
      <c r="H72" s="19"/>
      <c r="I72" s="19"/>
      <c r="J72" s="19"/>
      <c r="K72" s="19"/>
      <c r="L72" s="19"/>
      <c r="M72" s="19"/>
      <c r="N72" s="24"/>
      <c r="O72" s="24"/>
      <c r="P72" s="28" t="str">
        <f t="shared" ca="1" si="2"/>
        <v/>
      </c>
      <c r="Q72" s="19"/>
    </row>
    <row r="73" spans="1:17" x14ac:dyDescent="0.3">
      <c r="A73" s="17" t="s">
        <v>1022</v>
      </c>
      <c r="B73" s="19"/>
      <c r="C73" s="18" t="str">
        <f>IF(B73="","",IFERROR(INDEX('Test Cases'!$C$5:$C$300,MATCH(B73,'Test Cases'!$A$5:$A$300,0)),""))</f>
        <v/>
      </c>
      <c r="D73" s="18" t="str">
        <f>IF(B73="","",IFERROR(INDEX('Test Cases'!$D$5:$D$300,MATCH(B73,'Test Cases'!$A$5:$A$300,0)),""))</f>
        <v/>
      </c>
      <c r="E73" s="19"/>
      <c r="F73" s="19"/>
      <c r="G73" s="19"/>
      <c r="H73" s="19"/>
      <c r="I73" s="19"/>
      <c r="J73" s="19"/>
      <c r="K73" s="19"/>
      <c r="L73" s="19"/>
      <c r="M73" s="19"/>
      <c r="N73" s="24"/>
      <c r="O73" s="24"/>
      <c r="P73" s="28" t="str">
        <f t="shared" ca="1" si="2"/>
        <v/>
      </c>
      <c r="Q73" s="19"/>
    </row>
    <row r="74" spans="1:17" x14ac:dyDescent="0.3">
      <c r="A74" s="17" t="s">
        <v>1023</v>
      </c>
      <c r="B74" s="19"/>
      <c r="C74" s="18" t="str">
        <f>IF(B74="","",IFERROR(INDEX('Test Cases'!$C$5:$C$300,MATCH(B74,'Test Cases'!$A$5:$A$300,0)),""))</f>
        <v/>
      </c>
      <c r="D74" s="18" t="str">
        <f>IF(B74="","",IFERROR(INDEX('Test Cases'!$D$5:$D$300,MATCH(B74,'Test Cases'!$A$5:$A$300,0)),""))</f>
        <v/>
      </c>
      <c r="E74" s="19"/>
      <c r="F74" s="19"/>
      <c r="G74" s="19"/>
      <c r="H74" s="19"/>
      <c r="I74" s="19"/>
      <c r="J74" s="19"/>
      <c r="K74" s="19"/>
      <c r="L74" s="19"/>
      <c r="M74" s="19"/>
      <c r="N74" s="24"/>
      <c r="O74" s="24"/>
      <c r="P74" s="28" t="str">
        <f t="shared" ca="1" si="2"/>
        <v/>
      </c>
      <c r="Q74" s="19"/>
    </row>
    <row r="75" spans="1:17" x14ac:dyDescent="0.3">
      <c r="A75" s="17" t="s">
        <v>1024</v>
      </c>
      <c r="B75" s="19"/>
      <c r="C75" s="18" t="str">
        <f>IF(B75="","",IFERROR(INDEX('Test Cases'!$C$5:$C$300,MATCH(B75,'Test Cases'!$A$5:$A$300,0)),""))</f>
        <v/>
      </c>
      <c r="D75" s="18" t="str">
        <f>IF(B75="","",IFERROR(INDEX('Test Cases'!$D$5:$D$300,MATCH(B75,'Test Cases'!$A$5:$A$300,0)),""))</f>
        <v/>
      </c>
      <c r="E75" s="19"/>
      <c r="F75" s="19"/>
      <c r="G75" s="19"/>
      <c r="H75" s="19"/>
      <c r="I75" s="19"/>
      <c r="J75" s="19"/>
      <c r="K75" s="19"/>
      <c r="L75" s="19"/>
      <c r="M75" s="19"/>
      <c r="N75" s="24"/>
      <c r="O75" s="24"/>
      <c r="P75" s="28" t="str">
        <f t="shared" ca="1" si="2"/>
        <v/>
      </c>
      <c r="Q75" s="19"/>
    </row>
    <row r="76" spans="1:17" x14ac:dyDescent="0.3">
      <c r="A76" s="17" t="s">
        <v>1025</v>
      </c>
      <c r="B76" s="19"/>
      <c r="C76" s="18" t="str">
        <f>IF(B76="","",IFERROR(INDEX('Test Cases'!$C$5:$C$300,MATCH(B76,'Test Cases'!$A$5:$A$300,0)),""))</f>
        <v/>
      </c>
      <c r="D76" s="18" t="str">
        <f>IF(B76="","",IFERROR(INDEX('Test Cases'!$D$5:$D$300,MATCH(B76,'Test Cases'!$A$5:$A$300,0)),""))</f>
        <v/>
      </c>
      <c r="E76" s="19"/>
      <c r="F76" s="19"/>
      <c r="G76" s="19"/>
      <c r="H76" s="19"/>
      <c r="I76" s="19"/>
      <c r="J76" s="19"/>
      <c r="K76" s="19"/>
      <c r="L76" s="19"/>
      <c r="M76" s="19"/>
      <c r="N76" s="24"/>
      <c r="O76" s="24"/>
      <c r="P76" s="28" t="str">
        <f t="shared" ca="1" si="2"/>
        <v/>
      </c>
      <c r="Q76" s="19"/>
    </row>
    <row r="77" spans="1:17" x14ac:dyDescent="0.3">
      <c r="A77" s="17" t="s">
        <v>1026</v>
      </c>
      <c r="B77" s="19"/>
      <c r="C77" s="18" t="str">
        <f>IF(B77="","",IFERROR(INDEX('Test Cases'!$C$5:$C$300,MATCH(B77,'Test Cases'!$A$5:$A$300,0)),""))</f>
        <v/>
      </c>
      <c r="D77" s="18" t="str">
        <f>IF(B77="","",IFERROR(INDEX('Test Cases'!$D$5:$D$300,MATCH(B77,'Test Cases'!$A$5:$A$300,0)),""))</f>
        <v/>
      </c>
      <c r="E77" s="19"/>
      <c r="F77" s="19"/>
      <c r="G77" s="19"/>
      <c r="H77" s="19"/>
      <c r="I77" s="19"/>
      <c r="J77" s="19"/>
      <c r="K77" s="19"/>
      <c r="L77" s="19"/>
      <c r="M77" s="19"/>
      <c r="N77" s="24"/>
      <c r="O77" s="24"/>
      <c r="P77" s="28" t="str">
        <f t="shared" ca="1" si="2"/>
        <v/>
      </c>
      <c r="Q77" s="19"/>
    </row>
    <row r="78" spans="1:17" x14ac:dyDescent="0.3">
      <c r="A78" s="17" t="s">
        <v>1027</v>
      </c>
      <c r="B78" s="19"/>
      <c r="C78" s="18" t="str">
        <f>IF(B78="","",IFERROR(INDEX('Test Cases'!$C$5:$C$300,MATCH(B78,'Test Cases'!$A$5:$A$300,0)),""))</f>
        <v/>
      </c>
      <c r="D78" s="18" t="str">
        <f>IF(B78="","",IFERROR(INDEX('Test Cases'!$D$5:$D$300,MATCH(B78,'Test Cases'!$A$5:$A$300,0)),""))</f>
        <v/>
      </c>
      <c r="E78" s="19"/>
      <c r="F78" s="19"/>
      <c r="G78" s="19"/>
      <c r="H78" s="19"/>
      <c r="I78" s="19"/>
      <c r="J78" s="19"/>
      <c r="K78" s="19"/>
      <c r="L78" s="19"/>
      <c r="M78" s="19"/>
      <c r="N78" s="24"/>
      <c r="O78" s="24"/>
      <c r="P78" s="28" t="str">
        <f t="shared" ca="1" si="2"/>
        <v/>
      </c>
      <c r="Q78" s="19"/>
    </row>
    <row r="79" spans="1:17" x14ac:dyDescent="0.3">
      <c r="A79" s="17" t="s">
        <v>1028</v>
      </c>
      <c r="B79" s="19"/>
      <c r="C79" s="18" t="str">
        <f>IF(B79="","",IFERROR(INDEX('Test Cases'!$C$5:$C$300,MATCH(B79,'Test Cases'!$A$5:$A$300,0)),""))</f>
        <v/>
      </c>
      <c r="D79" s="18" t="str">
        <f>IF(B79="","",IFERROR(INDEX('Test Cases'!$D$5:$D$300,MATCH(B79,'Test Cases'!$A$5:$A$300,0)),""))</f>
        <v/>
      </c>
      <c r="E79" s="19"/>
      <c r="F79" s="19"/>
      <c r="G79" s="19"/>
      <c r="H79" s="19"/>
      <c r="I79" s="19"/>
      <c r="J79" s="19"/>
      <c r="K79" s="19"/>
      <c r="L79" s="19"/>
      <c r="M79" s="19"/>
      <c r="N79" s="24"/>
      <c r="O79" s="24"/>
      <c r="P79" s="28" t="str">
        <f t="shared" ca="1" si="2"/>
        <v/>
      </c>
      <c r="Q79" s="19"/>
    </row>
    <row r="80" spans="1:17" x14ac:dyDescent="0.3">
      <c r="A80" s="17" t="s">
        <v>1029</v>
      </c>
      <c r="B80" s="19"/>
      <c r="C80" s="18" t="str">
        <f>IF(B80="","",IFERROR(INDEX('Test Cases'!$C$5:$C$300,MATCH(B80,'Test Cases'!$A$5:$A$300,0)),""))</f>
        <v/>
      </c>
      <c r="D80" s="18" t="str">
        <f>IF(B80="","",IFERROR(INDEX('Test Cases'!$D$5:$D$300,MATCH(B80,'Test Cases'!$A$5:$A$300,0)),""))</f>
        <v/>
      </c>
      <c r="E80" s="19"/>
      <c r="F80" s="19"/>
      <c r="G80" s="19"/>
      <c r="H80" s="19"/>
      <c r="I80" s="19"/>
      <c r="J80" s="19"/>
      <c r="K80" s="19"/>
      <c r="L80" s="19"/>
      <c r="M80" s="19"/>
      <c r="N80" s="24"/>
      <c r="O80" s="24"/>
      <c r="P80" s="28" t="str">
        <f t="shared" ca="1" si="2"/>
        <v/>
      </c>
      <c r="Q80" s="19"/>
    </row>
    <row r="81" spans="1:17" x14ac:dyDescent="0.3">
      <c r="A81" s="17" t="s">
        <v>1030</v>
      </c>
      <c r="B81" s="19"/>
      <c r="C81" s="18" t="str">
        <f>IF(B81="","",IFERROR(INDEX('Test Cases'!$C$5:$C$300,MATCH(B81,'Test Cases'!$A$5:$A$300,0)),""))</f>
        <v/>
      </c>
      <c r="D81" s="18" t="str">
        <f>IF(B81="","",IFERROR(INDEX('Test Cases'!$D$5:$D$300,MATCH(B81,'Test Cases'!$A$5:$A$300,0)),""))</f>
        <v/>
      </c>
      <c r="E81" s="19"/>
      <c r="F81" s="19"/>
      <c r="G81" s="19"/>
      <c r="H81" s="19"/>
      <c r="I81" s="19"/>
      <c r="J81" s="19"/>
      <c r="K81" s="19"/>
      <c r="L81" s="19"/>
      <c r="M81" s="19"/>
      <c r="N81" s="24"/>
      <c r="O81" s="24"/>
      <c r="P81" s="28" t="str">
        <f t="shared" ca="1" si="2"/>
        <v/>
      </c>
      <c r="Q81" s="19"/>
    </row>
    <row r="82" spans="1:17" x14ac:dyDescent="0.3">
      <c r="A82" s="17" t="s">
        <v>1031</v>
      </c>
      <c r="B82" s="19"/>
      <c r="C82" s="18" t="str">
        <f>IF(B82="","",IFERROR(INDEX('Test Cases'!$C$5:$C$300,MATCH(B82,'Test Cases'!$A$5:$A$300,0)),""))</f>
        <v/>
      </c>
      <c r="D82" s="18" t="str">
        <f>IF(B82="","",IFERROR(INDEX('Test Cases'!$D$5:$D$300,MATCH(B82,'Test Cases'!$A$5:$A$300,0)),""))</f>
        <v/>
      </c>
      <c r="E82" s="19"/>
      <c r="F82" s="19"/>
      <c r="G82" s="19"/>
      <c r="H82" s="19"/>
      <c r="I82" s="19"/>
      <c r="J82" s="19"/>
      <c r="K82" s="19"/>
      <c r="L82" s="19"/>
      <c r="M82" s="19"/>
      <c r="N82" s="24"/>
      <c r="O82" s="24"/>
      <c r="P82" s="28" t="str">
        <f t="shared" ca="1" si="2"/>
        <v/>
      </c>
      <c r="Q82" s="19"/>
    </row>
    <row r="83" spans="1:17" x14ac:dyDescent="0.3">
      <c r="A83" s="17" t="s">
        <v>1032</v>
      </c>
      <c r="B83" s="19"/>
      <c r="C83" s="18" t="str">
        <f>IF(B83="","",IFERROR(INDEX('Test Cases'!$C$5:$C$300,MATCH(B83,'Test Cases'!$A$5:$A$300,0)),""))</f>
        <v/>
      </c>
      <c r="D83" s="18" t="str">
        <f>IF(B83="","",IFERROR(INDEX('Test Cases'!$D$5:$D$300,MATCH(B83,'Test Cases'!$A$5:$A$300,0)),""))</f>
        <v/>
      </c>
      <c r="E83" s="19"/>
      <c r="F83" s="19"/>
      <c r="G83" s="19"/>
      <c r="H83" s="19"/>
      <c r="I83" s="19"/>
      <c r="J83" s="19"/>
      <c r="K83" s="19"/>
      <c r="L83" s="19"/>
      <c r="M83" s="19"/>
      <c r="N83" s="24"/>
      <c r="O83" s="24"/>
      <c r="P83" s="28" t="str">
        <f t="shared" ca="1" si="2"/>
        <v/>
      </c>
      <c r="Q83" s="19"/>
    </row>
    <row r="84" spans="1:17" x14ac:dyDescent="0.3">
      <c r="A84" s="17" t="s">
        <v>1033</v>
      </c>
      <c r="B84" s="19"/>
      <c r="C84" s="18" t="str">
        <f>IF(B84="","",IFERROR(INDEX('Test Cases'!$C$5:$C$300,MATCH(B84,'Test Cases'!$A$5:$A$300,0)),""))</f>
        <v/>
      </c>
      <c r="D84" s="18" t="str">
        <f>IF(B84="","",IFERROR(INDEX('Test Cases'!$D$5:$D$300,MATCH(B84,'Test Cases'!$A$5:$A$300,0)),""))</f>
        <v/>
      </c>
      <c r="E84" s="19"/>
      <c r="F84" s="19"/>
      <c r="G84" s="19"/>
      <c r="H84" s="19"/>
      <c r="I84" s="19"/>
      <c r="J84" s="19"/>
      <c r="K84" s="19"/>
      <c r="L84" s="19"/>
      <c r="M84" s="19"/>
      <c r="N84" s="24"/>
      <c r="O84" s="24"/>
      <c r="P84" s="28" t="str">
        <f t="shared" ca="1" si="2"/>
        <v/>
      </c>
      <c r="Q84" s="19"/>
    </row>
    <row r="85" spans="1:17" x14ac:dyDescent="0.3">
      <c r="A85" s="17" t="s">
        <v>1034</v>
      </c>
      <c r="B85" s="19"/>
      <c r="C85" s="18" t="str">
        <f>IF(B85="","",IFERROR(INDEX('Test Cases'!$C$5:$C$300,MATCH(B85,'Test Cases'!$A$5:$A$300,0)),""))</f>
        <v/>
      </c>
      <c r="D85" s="18" t="str">
        <f>IF(B85="","",IFERROR(INDEX('Test Cases'!$D$5:$D$300,MATCH(B85,'Test Cases'!$A$5:$A$300,0)),""))</f>
        <v/>
      </c>
      <c r="E85" s="19"/>
      <c r="F85" s="19"/>
      <c r="G85" s="19"/>
      <c r="H85" s="19"/>
      <c r="I85" s="19"/>
      <c r="J85" s="19"/>
      <c r="K85" s="19"/>
      <c r="L85" s="19"/>
      <c r="M85" s="19"/>
      <c r="N85" s="24"/>
      <c r="O85" s="24"/>
      <c r="P85" s="28" t="str">
        <f t="shared" ca="1" si="2"/>
        <v/>
      </c>
      <c r="Q85" s="19"/>
    </row>
    <row r="86" spans="1:17" x14ac:dyDescent="0.3">
      <c r="A86" s="17" t="s">
        <v>1035</v>
      </c>
      <c r="B86" s="19"/>
      <c r="C86" s="18" t="str">
        <f>IF(B86="","",IFERROR(INDEX('Test Cases'!$C$5:$C$300,MATCH(B86,'Test Cases'!$A$5:$A$300,0)),""))</f>
        <v/>
      </c>
      <c r="D86" s="18" t="str">
        <f>IF(B86="","",IFERROR(INDEX('Test Cases'!$D$5:$D$300,MATCH(B86,'Test Cases'!$A$5:$A$300,0)),""))</f>
        <v/>
      </c>
      <c r="E86" s="19"/>
      <c r="F86" s="19"/>
      <c r="G86" s="19"/>
      <c r="H86" s="19"/>
      <c r="I86" s="19"/>
      <c r="J86" s="19"/>
      <c r="K86" s="19"/>
      <c r="L86" s="19"/>
      <c r="M86" s="19"/>
      <c r="N86" s="24"/>
      <c r="O86" s="24"/>
      <c r="P86" s="28" t="str">
        <f t="shared" ca="1" si="2"/>
        <v/>
      </c>
      <c r="Q86" s="19"/>
    </row>
    <row r="87" spans="1:17" x14ac:dyDescent="0.3">
      <c r="A87" s="17" t="s">
        <v>1036</v>
      </c>
      <c r="B87" s="19"/>
      <c r="C87" s="18" t="str">
        <f>IF(B87="","",IFERROR(INDEX('Test Cases'!$C$5:$C$300,MATCH(B87,'Test Cases'!$A$5:$A$300,0)),""))</f>
        <v/>
      </c>
      <c r="D87" s="18" t="str">
        <f>IF(B87="","",IFERROR(INDEX('Test Cases'!$D$5:$D$300,MATCH(B87,'Test Cases'!$A$5:$A$300,0)),""))</f>
        <v/>
      </c>
      <c r="E87" s="19"/>
      <c r="F87" s="19"/>
      <c r="G87" s="19"/>
      <c r="H87" s="19"/>
      <c r="I87" s="19"/>
      <c r="J87" s="19"/>
      <c r="K87" s="19"/>
      <c r="L87" s="19"/>
      <c r="M87" s="19"/>
      <c r="N87" s="24"/>
      <c r="O87" s="24"/>
      <c r="P87" s="28" t="str">
        <f t="shared" ca="1" si="2"/>
        <v/>
      </c>
      <c r="Q87" s="19"/>
    </row>
    <row r="88" spans="1:17" x14ac:dyDescent="0.3">
      <c r="A88" s="17" t="s">
        <v>1037</v>
      </c>
      <c r="B88" s="19"/>
      <c r="C88" s="18" t="str">
        <f>IF(B88="","",IFERROR(INDEX('Test Cases'!$C$5:$C$300,MATCH(B88,'Test Cases'!$A$5:$A$300,0)),""))</f>
        <v/>
      </c>
      <c r="D88" s="18" t="str">
        <f>IF(B88="","",IFERROR(INDEX('Test Cases'!$D$5:$D$300,MATCH(B88,'Test Cases'!$A$5:$A$300,0)),""))</f>
        <v/>
      </c>
      <c r="E88" s="19"/>
      <c r="F88" s="19"/>
      <c r="G88" s="19"/>
      <c r="H88" s="19"/>
      <c r="I88" s="19"/>
      <c r="J88" s="19"/>
      <c r="K88" s="19"/>
      <c r="L88" s="19"/>
      <c r="M88" s="19"/>
      <c r="N88" s="24"/>
      <c r="O88" s="24"/>
      <c r="P88" s="28" t="str">
        <f t="shared" ca="1" si="2"/>
        <v/>
      </c>
      <c r="Q88" s="19"/>
    </row>
    <row r="89" spans="1:17" x14ac:dyDescent="0.3">
      <c r="A89" s="17" t="s">
        <v>1038</v>
      </c>
      <c r="B89" s="19"/>
      <c r="C89" s="18" t="str">
        <f>IF(B89="","",IFERROR(INDEX('Test Cases'!$C$5:$C$300,MATCH(B89,'Test Cases'!$A$5:$A$300,0)),""))</f>
        <v/>
      </c>
      <c r="D89" s="18" t="str">
        <f>IF(B89="","",IFERROR(INDEX('Test Cases'!$D$5:$D$300,MATCH(B89,'Test Cases'!$A$5:$A$300,0)),""))</f>
        <v/>
      </c>
      <c r="E89" s="19"/>
      <c r="F89" s="19"/>
      <c r="G89" s="19"/>
      <c r="H89" s="19"/>
      <c r="I89" s="19"/>
      <c r="J89" s="19"/>
      <c r="K89" s="19"/>
      <c r="L89" s="19"/>
      <c r="M89" s="19"/>
      <c r="N89" s="24"/>
      <c r="O89" s="24"/>
      <c r="P89" s="28" t="str">
        <f t="shared" ca="1" si="2"/>
        <v/>
      </c>
      <c r="Q89" s="19"/>
    </row>
    <row r="90" spans="1:17" x14ac:dyDescent="0.3">
      <c r="A90" s="17" t="s">
        <v>1039</v>
      </c>
      <c r="B90" s="19"/>
      <c r="C90" s="18" t="str">
        <f>IF(B90="","",IFERROR(INDEX('Test Cases'!$C$5:$C$300,MATCH(B90,'Test Cases'!$A$5:$A$300,0)),""))</f>
        <v/>
      </c>
      <c r="D90" s="18" t="str">
        <f>IF(B90="","",IFERROR(INDEX('Test Cases'!$D$5:$D$300,MATCH(B90,'Test Cases'!$A$5:$A$300,0)),""))</f>
        <v/>
      </c>
      <c r="E90" s="19"/>
      <c r="F90" s="19"/>
      <c r="G90" s="19"/>
      <c r="H90" s="19"/>
      <c r="I90" s="19"/>
      <c r="J90" s="19"/>
      <c r="K90" s="19"/>
      <c r="L90" s="19"/>
      <c r="M90" s="19"/>
      <c r="N90" s="24"/>
      <c r="O90" s="24"/>
      <c r="P90" s="28" t="str">
        <f t="shared" ca="1" si="2"/>
        <v/>
      </c>
      <c r="Q90" s="19"/>
    </row>
    <row r="91" spans="1:17" x14ac:dyDescent="0.3">
      <c r="A91" s="17" t="s">
        <v>1040</v>
      </c>
      <c r="B91" s="19"/>
      <c r="C91" s="18" t="str">
        <f>IF(B91="","",IFERROR(INDEX('Test Cases'!$C$5:$C$300,MATCH(B91,'Test Cases'!$A$5:$A$300,0)),""))</f>
        <v/>
      </c>
      <c r="D91" s="18" t="str">
        <f>IF(B91="","",IFERROR(INDEX('Test Cases'!$D$5:$D$300,MATCH(B91,'Test Cases'!$A$5:$A$300,0)),""))</f>
        <v/>
      </c>
      <c r="E91" s="19"/>
      <c r="F91" s="19"/>
      <c r="G91" s="19"/>
      <c r="H91" s="19"/>
      <c r="I91" s="19"/>
      <c r="J91" s="19"/>
      <c r="K91" s="19"/>
      <c r="L91" s="19"/>
      <c r="M91" s="19"/>
      <c r="N91" s="24"/>
      <c r="O91" s="24"/>
      <c r="P91" s="28" t="str">
        <f t="shared" ca="1" si="2"/>
        <v/>
      </c>
      <c r="Q91" s="19"/>
    </row>
    <row r="92" spans="1:17" x14ac:dyDescent="0.3">
      <c r="A92" s="17" t="s">
        <v>1041</v>
      </c>
      <c r="B92" s="19"/>
      <c r="C92" s="18" t="str">
        <f>IF(B92="","",IFERROR(INDEX('Test Cases'!$C$5:$C$300,MATCH(B92,'Test Cases'!$A$5:$A$300,0)),""))</f>
        <v/>
      </c>
      <c r="D92" s="18" t="str">
        <f>IF(B92="","",IFERROR(INDEX('Test Cases'!$D$5:$D$300,MATCH(B92,'Test Cases'!$A$5:$A$300,0)),""))</f>
        <v/>
      </c>
      <c r="E92" s="19"/>
      <c r="F92" s="19"/>
      <c r="G92" s="19"/>
      <c r="H92" s="19"/>
      <c r="I92" s="19"/>
      <c r="J92" s="19"/>
      <c r="K92" s="19"/>
      <c r="L92" s="19"/>
      <c r="M92" s="19"/>
      <c r="N92" s="24"/>
      <c r="O92" s="24"/>
      <c r="P92" s="28" t="str">
        <f t="shared" ca="1" si="2"/>
        <v/>
      </c>
      <c r="Q92" s="19"/>
    </row>
    <row r="93" spans="1:17" x14ac:dyDescent="0.3">
      <c r="A93" s="17" t="s">
        <v>1042</v>
      </c>
      <c r="B93" s="19"/>
      <c r="C93" s="18" t="str">
        <f>IF(B93="","",IFERROR(INDEX('Test Cases'!$C$5:$C$300,MATCH(B93,'Test Cases'!$A$5:$A$300,0)),""))</f>
        <v/>
      </c>
      <c r="D93" s="18" t="str">
        <f>IF(B93="","",IFERROR(INDEX('Test Cases'!$D$5:$D$300,MATCH(B93,'Test Cases'!$A$5:$A$300,0)),""))</f>
        <v/>
      </c>
      <c r="E93" s="19"/>
      <c r="F93" s="19"/>
      <c r="G93" s="19"/>
      <c r="H93" s="19"/>
      <c r="I93" s="19"/>
      <c r="J93" s="19"/>
      <c r="K93" s="19"/>
      <c r="L93" s="19"/>
      <c r="M93" s="19"/>
      <c r="N93" s="24"/>
      <c r="O93" s="24"/>
      <c r="P93" s="28" t="str">
        <f t="shared" ca="1" si="2"/>
        <v/>
      </c>
      <c r="Q93" s="19"/>
    </row>
    <row r="94" spans="1:17" x14ac:dyDescent="0.3">
      <c r="A94" s="17" t="s">
        <v>1043</v>
      </c>
      <c r="B94" s="19"/>
      <c r="C94" s="18" t="str">
        <f>IF(B94="","",IFERROR(INDEX('Test Cases'!$C$5:$C$300,MATCH(B94,'Test Cases'!$A$5:$A$300,0)),""))</f>
        <v/>
      </c>
      <c r="D94" s="18" t="str">
        <f>IF(B94="","",IFERROR(INDEX('Test Cases'!$D$5:$D$300,MATCH(B94,'Test Cases'!$A$5:$A$300,0)),""))</f>
        <v/>
      </c>
      <c r="E94" s="19"/>
      <c r="F94" s="19"/>
      <c r="G94" s="19"/>
      <c r="H94" s="19"/>
      <c r="I94" s="19"/>
      <c r="J94" s="19"/>
      <c r="K94" s="19"/>
      <c r="L94" s="19"/>
      <c r="M94" s="19"/>
      <c r="N94" s="24"/>
      <c r="O94" s="24"/>
      <c r="P94" s="28" t="str">
        <f t="shared" ca="1" si="2"/>
        <v/>
      </c>
      <c r="Q94" s="19"/>
    </row>
    <row r="95" spans="1:17" x14ac:dyDescent="0.3">
      <c r="A95" s="17" t="s">
        <v>1044</v>
      </c>
      <c r="B95" s="19"/>
      <c r="C95" s="18" t="str">
        <f>IF(B95="","",IFERROR(INDEX('Test Cases'!$C$5:$C$300,MATCH(B95,'Test Cases'!$A$5:$A$300,0)),""))</f>
        <v/>
      </c>
      <c r="D95" s="18" t="str">
        <f>IF(B95="","",IFERROR(INDEX('Test Cases'!$D$5:$D$300,MATCH(B95,'Test Cases'!$A$5:$A$300,0)),""))</f>
        <v/>
      </c>
      <c r="E95" s="19"/>
      <c r="F95" s="19"/>
      <c r="G95" s="19"/>
      <c r="H95" s="19"/>
      <c r="I95" s="19"/>
      <c r="J95" s="19"/>
      <c r="K95" s="19"/>
      <c r="L95" s="19"/>
      <c r="M95" s="19"/>
      <c r="N95" s="24"/>
      <c r="O95" s="24"/>
      <c r="P95" s="28" t="str">
        <f t="shared" ca="1" si="2"/>
        <v/>
      </c>
      <c r="Q95" s="19"/>
    </row>
    <row r="96" spans="1:17" x14ac:dyDescent="0.3">
      <c r="A96" s="17" t="s">
        <v>1045</v>
      </c>
      <c r="B96" s="19"/>
      <c r="C96" s="18" t="str">
        <f>IF(B96="","",IFERROR(INDEX('Test Cases'!$C$5:$C$300,MATCH(B96,'Test Cases'!$A$5:$A$300,0)),""))</f>
        <v/>
      </c>
      <c r="D96" s="18" t="str">
        <f>IF(B96="","",IFERROR(INDEX('Test Cases'!$D$5:$D$300,MATCH(B96,'Test Cases'!$A$5:$A$300,0)),""))</f>
        <v/>
      </c>
      <c r="E96" s="19"/>
      <c r="F96" s="19"/>
      <c r="G96" s="19"/>
      <c r="H96" s="19"/>
      <c r="I96" s="19"/>
      <c r="J96" s="19"/>
      <c r="K96" s="19"/>
      <c r="L96" s="19"/>
      <c r="M96" s="19"/>
      <c r="N96" s="24"/>
      <c r="O96" s="24"/>
      <c r="P96" s="28" t="str">
        <f t="shared" ca="1" si="2"/>
        <v/>
      </c>
      <c r="Q96" s="19"/>
    </row>
    <row r="97" spans="1:17" x14ac:dyDescent="0.3">
      <c r="A97" s="17" t="s">
        <v>1046</v>
      </c>
      <c r="B97" s="19"/>
      <c r="C97" s="18" t="str">
        <f>IF(B97="","",IFERROR(INDEX('Test Cases'!$C$5:$C$300,MATCH(B97,'Test Cases'!$A$5:$A$300,0)),""))</f>
        <v/>
      </c>
      <c r="D97" s="18" t="str">
        <f>IF(B97="","",IFERROR(INDEX('Test Cases'!$D$5:$D$300,MATCH(B97,'Test Cases'!$A$5:$A$300,0)),""))</f>
        <v/>
      </c>
      <c r="E97" s="19"/>
      <c r="F97" s="19"/>
      <c r="G97" s="19"/>
      <c r="H97" s="19"/>
      <c r="I97" s="19"/>
      <c r="J97" s="19"/>
      <c r="K97" s="19"/>
      <c r="L97" s="19"/>
      <c r="M97" s="19"/>
      <c r="N97" s="24"/>
      <c r="O97" s="24"/>
      <c r="P97" s="28" t="str">
        <f t="shared" ca="1" si="2"/>
        <v/>
      </c>
      <c r="Q97" s="19"/>
    </row>
    <row r="98" spans="1:17" x14ac:dyDescent="0.3">
      <c r="A98" s="17" t="s">
        <v>1047</v>
      </c>
      <c r="B98" s="19"/>
      <c r="C98" s="18" t="str">
        <f>IF(B98="","",IFERROR(INDEX('Test Cases'!$C$5:$C$300,MATCH(B98,'Test Cases'!$A$5:$A$300,0)),""))</f>
        <v/>
      </c>
      <c r="D98" s="18" t="str">
        <f>IF(B98="","",IFERROR(INDEX('Test Cases'!$D$5:$D$300,MATCH(B98,'Test Cases'!$A$5:$A$300,0)),""))</f>
        <v/>
      </c>
      <c r="E98" s="19"/>
      <c r="F98" s="19"/>
      <c r="G98" s="19"/>
      <c r="H98" s="19"/>
      <c r="I98" s="19"/>
      <c r="J98" s="19"/>
      <c r="K98" s="19"/>
      <c r="L98" s="19"/>
      <c r="M98" s="19"/>
      <c r="N98" s="24"/>
      <c r="O98" s="24"/>
      <c r="P98" s="28" t="str">
        <f t="shared" ca="1" si="2"/>
        <v/>
      </c>
      <c r="Q98" s="19"/>
    </row>
    <row r="99" spans="1:17" x14ac:dyDescent="0.3">
      <c r="A99" s="17" t="s">
        <v>1048</v>
      </c>
      <c r="B99" s="19"/>
      <c r="C99" s="18" t="str">
        <f>IF(B99="","",IFERROR(INDEX('Test Cases'!$C$5:$C$300,MATCH(B99,'Test Cases'!$A$5:$A$300,0)),""))</f>
        <v/>
      </c>
      <c r="D99" s="18" t="str">
        <f>IF(B99="","",IFERROR(INDEX('Test Cases'!$D$5:$D$300,MATCH(B99,'Test Cases'!$A$5:$A$300,0)),""))</f>
        <v/>
      </c>
      <c r="E99" s="19"/>
      <c r="F99" s="19"/>
      <c r="G99" s="19"/>
      <c r="H99" s="19"/>
      <c r="I99" s="19"/>
      <c r="J99" s="19"/>
      <c r="K99" s="19"/>
      <c r="L99" s="19"/>
      <c r="M99" s="19"/>
      <c r="N99" s="24"/>
      <c r="O99" s="24"/>
      <c r="P99" s="28" t="str">
        <f t="shared" ca="1" si="2"/>
        <v/>
      </c>
      <c r="Q99" s="19"/>
    </row>
    <row r="100" spans="1:17" x14ac:dyDescent="0.3">
      <c r="A100" s="17" t="s">
        <v>1049</v>
      </c>
      <c r="B100" s="19"/>
      <c r="C100" s="18" t="str">
        <f>IF(B100="","",IFERROR(INDEX('Test Cases'!$C$5:$C$300,MATCH(B100,'Test Cases'!$A$5:$A$300,0)),""))</f>
        <v/>
      </c>
      <c r="D100" s="18" t="str">
        <f>IF(B100="","",IFERROR(INDEX('Test Cases'!$D$5:$D$300,MATCH(B100,'Test Cases'!$A$5:$A$300,0)),""))</f>
        <v/>
      </c>
      <c r="E100" s="19"/>
      <c r="F100" s="19"/>
      <c r="G100" s="19"/>
      <c r="H100" s="19"/>
      <c r="I100" s="19"/>
      <c r="J100" s="19"/>
      <c r="K100" s="19"/>
      <c r="L100" s="19"/>
      <c r="M100" s="19"/>
      <c r="N100" s="24"/>
      <c r="O100" s="24"/>
      <c r="P100" s="28" t="str">
        <f t="shared" ca="1" si="2"/>
        <v/>
      </c>
      <c r="Q100" s="19"/>
    </row>
    <row r="101" spans="1:17" x14ac:dyDescent="0.3">
      <c r="A101" s="17" t="s">
        <v>1050</v>
      </c>
      <c r="B101" s="19"/>
      <c r="C101" s="18" t="str">
        <f>IF(B101="","",IFERROR(INDEX('Test Cases'!$C$5:$C$300,MATCH(B101,'Test Cases'!$A$5:$A$300,0)),""))</f>
        <v/>
      </c>
      <c r="D101" s="18" t="str">
        <f>IF(B101="","",IFERROR(INDEX('Test Cases'!$D$5:$D$300,MATCH(B101,'Test Cases'!$A$5:$A$300,0)),""))</f>
        <v/>
      </c>
      <c r="E101" s="19"/>
      <c r="F101" s="19"/>
      <c r="G101" s="19"/>
      <c r="H101" s="19"/>
      <c r="I101" s="19"/>
      <c r="J101" s="19"/>
      <c r="K101" s="19"/>
      <c r="L101" s="19"/>
      <c r="M101" s="19"/>
      <c r="N101" s="24"/>
      <c r="O101" s="24"/>
      <c r="P101" s="28" t="str">
        <f t="shared" ref="P101:P132" ca="1" si="3">IF(N101="","",IF(O101&lt;&gt;"",O101-N101,TODAY()-N101))</f>
        <v/>
      </c>
      <c r="Q101" s="19"/>
    </row>
    <row r="102" spans="1:17" x14ac:dyDescent="0.3">
      <c r="A102" s="17" t="s">
        <v>1051</v>
      </c>
      <c r="B102" s="19"/>
      <c r="C102" s="18" t="str">
        <f>IF(B102="","",IFERROR(INDEX('Test Cases'!$C$5:$C$300,MATCH(B102,'Test Cases'!$A$5:$A$300,0)),""))</f>
        <v/>
      </c>
      <c r="D102" s="18" t="str">
        <f>IF(B102="","",IFERROR(INDEX('Test Cases'!$D$5:$D$300,MATCH(B102,'Test Cases'!$A$5:$A$300,0)),""))</f>
        <v/>
      </c>
      <c r="E102" s="19"/>
      <c r="F102" s="19"/>
      <c r="G102" s="19"/>
      <c r="H102" s="19"/>
      <c r="I102" s="19"/>
      <c r="J102" s="19"/>
      <c r="K102" s="19"/>
      <c r="L102" s="19"/>
      <c r="M102" s="19"/>
      <c r="N102" s="24"/>
      <c r="O102" s="24"/>
      <c r="P102" s="28" t="str">
        <f t="shared" ca="1" si="3"/>
        <v/>
      </c>
      <c r="Q102" s="19"/>
    </row>
    <row r="103" spans="1:17" x14ac:dyDescent="0.3">
      <c r="A103" s="17" t="s">
        <v>1052</v>
      </c>
      <c r="B103" s="19"/>
      <c r="C103" s="18" t="str">
        <f>IF(B103="","",IFERROR(INDEX('Test Cases'!$C$5:$C$300,MATCH(B103,'Test Cases'!$A$5:$A$300,0)),""))</f>
        <v/>
      </c>
      <c r="D103" s="18" t="str">
        <f>IF(B103="","",IFERROR(INDEX('Test Cases'!$D$5:$D$300,MATCH(B103,'Test Cases'!$A$5:$A$300,0)),""))</f>
        <v/>
      </c>
      <c r="E103" s="19"/>
      <c r="F103" s="19"/>
      <c r="G103" s="19"/>
      <c r="H103" s="19"/>
      <c r="I103" s="19"/>
      <c r="J103" s="19"/>
      <c r="K103" s="19"/>
      <c r="L103" s="19"/>
      <c r="M103" s="19"/>
      <c r="N103" s="24"/>
      <c r="O103" s="24"/>
      <c r="P103" s="28" t="str">
        <f t="shared" ca="1" si="3"/>
        <v/>
      </c>
      <c r="Q103" s="19"/>
    </row>
    <row r="104" spans="1:17" x14ac:dyDescent="0.3">
      <c r="A104" s="17" t="s">
        <v>1053</v>
      </c>
      <c r="B104" s="19"/>
      <c r="C104" s="18" t="str">
        <f>IF(B104="","",IFERROR(INDEX('Test Cases'!$C$5:$C$300,MATCH(B104,'Test Cases'!$A$5:$A$300,0)),""))</f>
        <v/>
      </c>
      <c r="D104" s="18" t="str">
        <f>IF(B104="","",IFERROR(INDEX('Test Cases'!$D$5:$D$300,MATCH(B104,'Test Cases'!$A$5:$A$300,0)),""))</f>
        <v/>
      </c>
      <c r="E104" s="19"/>
      <c r="F104" s="19"/>
      <c r="G104" s="19"/>
      <c r="H104" s="19"/>
      <c r="I104" s="19"/>
      <c r="J104" s="19"/>
      <c r="K104" s="19"/>
      <c r="L104" s="19"/>
      <c r="M104" s="19"/>
      <c r="N104" s="24"/>
      <c r="O104" s="24"/>
      <c r="P104" s="28" t="str">
        <f t="shared" ca="1" si="3"/>
        <v/>
      </c>
      <c r="Q104" s="19"/>
    </row>
    <row r="105" spans="1:17" x14ac:dyDescent="0.3">
      <c r="A105" s="17" t="s">
        <v>1054</v>
      </c>
      <c r="B105" s="19"/>
      <c r="C105" s="18" t="str">
        <f>IF(B105="","",IFERROR(INDEX('Test Cases'!$C$5:$C$300,MATCH(B105,'Test Cases'!$A$5:$A$300,0)),""))</f>
        <v/>
      </c>
      <c r="D105" s="18" t="str">
        <f>IF(B105="","",IFERROR(INDEX('Test Cases'!$D$5:$D$300,MATCH(B105,'Test Cases'!$A$5:$A$300,0)),""))</f>
        <v/>
      </c>
      <c r="E105" s="19"/>
      <c r="F105" s="19"/>
      <c r="G105" s="19"/>
      <c r="H105" s="19"/>
      <c r="I105" s="19"/>
      <c r="J105" s="19"/>
      <c r="K105" s="19"/>
      <c r="L105" s="19"/>
      <c r="M105" s="19"/>
      <c r="N105" s="24"/>
      <c r="O105" s="24"/>
      <c r="P105" s="28" t="str">
        <f t="shared" ca="1" si="3"/>
        <v/>
      </c>
      <c r="Q105" s="19"/>
    </row>
    <row r="106" spans="1:17" x14ac:dyDescent="0.3">
      <c r="A106" s="17" t="s">
        <v>1055</v>
      </c>
      <c r="B106" s="19"/>
      <c r="C106" s="18" t="str">
        <f>IF(B106="","",IFERROR(INDEX('Test Cases'!$C$5:$C$300,MATCH(B106,'Test Cases'!$A$5:$A$300,0)),""))</f>
        <v/>
      </c>
      <c r="D106" s="18" t="str">
        <f>IF(B106="","",IFERROR(INDEX('Test Cases'!$D$5:$D$300,MATCH(B106,'Test Cases'!$A$5:$A$300,0)),""))</f>
        <v/>
      </c>
      <c r="E106" s="19"/>
      <c r="F106" s="19"/>
      <c r="G106" s="19"/>
      <c r="H106" s="19"/>
      <c r="I106" s="19"/>
      <c r="J106" s="19"/>
      <c r="K106" s="19"/>
      <c r="L106" s="19"/>
      <c r="M106" s="19"/>
      <c r="N106" s="24"/>
      <c r="O106" s="24"/>
      <c r="P106" s="28" t="str">
        <f t="shared" ca="1" si="3"/>
        <v/>
      </c>
      <c r="Q106" s="19"/>
    </row>
    <row r="107" spans="1:17" x14ac:dyDescent="0.3">
      <c r="A107" s="17" t="s">
        <v>1056</v>
      </c>
      <c r="B107" s="19"/>
      <c r="C107" s="18" t="str">
        <f>IF(B107="","",IFERROR(INDEX('Test Cases'!$C$5:$C$300,MATCH(B107,'Test Cases'!$A$5:$A$300,0)),""))</f>
        <v/>
      </c>
      <c r="D107" s="18" t="str">
        <f>IF(B107="","",IFERROR(INDEX('Test Cases'!$D$5:$D$300,MATCH(B107,'Test Cases'!$A$5:$A$300,0)),""))</f>
        <v/>
      </c>
      <c r="E107" s="19"/>
      <c r="F107" s="19"/>
      <c r="G107" s="19"/>
      <c r="H107" s="19"/>
      <c r="I107" s="19"/>
      <c r="J107" s="19"/>
      <c r="K107" s="19"/>
      <c r="L107" s="19"/>
      <c r="M107" s="19"/>
      <c r="N107" s="24"/>
      <c r="O107" s="24"/>
      <c r="P107" s="28" t="str">
        <f t="shared" ca="1" si="3"/>
        <v/>
      </c>
      <c r="Q107" s="19"/>
    </row>
    <row r="108" spans="1:17" x14ac:dyDescent="0.3">
      <c r="A108" s="17" t="s">
        <v>1057</v>
      </c>
      <c r="B108" s="19"/>
      <c r="C108" s="18" t="str">
        <f>IF(B108="","",IFERROR(INDEX('Test Cases'!$C$5:$C$300,MATCH(B108,'Test Cases'!$A$5:$A$300,0)),""))</f>
        <v/>
      </c>
      <c r="D108" s="18" t="str">
        <f>IF(B108="","",IFERROR(INDEX('Test Cases'!$D$5:$D$300,MATCH(B108,'Test Cases'!$A$5:$A$300,0)),""))</f>
        <v/>
      </c>
      <c r="E108" s="19"/>
      <c r="F108" s="19"/>
      <c r="G108" s="19"/>
      <c r="H108" s="19"/>
      <c r="I108" s="19"/>
      <c r="J108" s="19"/>
      <c r="K108" s="19"/>
      <c r="L108" s="19"/>
      <c r="M108" s="19"/>
      <c r="N108" s="24"/>
      <c r="O108" s="24"/>
      <c r="P108" s="28" t="str">
        <f t="shared" ca="1" si="3"/>
        <v/>
      </c>
      <c r="Q108" s="19"/>
    </row>
    <row r="109" spans="1:17" x14ac:dyDescent="0.3">
      <c r="A109" s="17" t="s">
        <v>1058</v>
      </c>
      <c r="B109" s="19"/>
      <c r="C109" s="18" t="str">
        <f>IF(B109="","",IFERROR(INDEX('Test Cases'!$C$5:$C$300,MATCH(B109,'Test Cases'!$A$5:$A$300,0)),""))</f>
        <v/>
      </c>
      <c r="D109" s="18" t="str">
        <f>IF(B109="","",IFERROR(INDEX('Test Cases'!$D$5:$D$300,MATCH(B109,'Test Cases'!$A$5:$A$300,0)),""))</f>
        <v/>
      </c>
      <c r="E109" s="19"/>
      <c r="F109" s="19"/>
      <c r="G109" s="19"/>
      <c r="H109" s="19"/>
      <c r="I109" s="19"/>
      <c r="J109" s="19"/>
      <c r="K109" s="19"/>
      <c r="L109" s="19"/>
      <c r="M109" s="19"/>
      <c r="N109" s="24"/>
      <c r="O109" s="24"/>
      <c r="P109" s="28" t="str">
        <f t="shared" ca="1" si="3"/>
        <v/>
      </c>
      <c r="Q109" s="19"/>
    </row>
    <row r="110" spans="1:17" x14ac:dyDescent="0.3">
      <c r="A110" s="17" t="s">
        <v>1059</v>
      </c>
      <c r="B110" s="19"/>
      <c r="C110" s="18" t="str">
        <f>IF(B110="","",IFERROR(INDEX('Test Cases'!$C$5:$C$300,MATCH(B110,'Test Cases'!$A$5:$A$300,0)),""))</f>
        <v/>
      </c>
      <c r="D110" s="18" t="str">
        <f>IF(B110="","",IFERROR(INDEX('Test Cases'!$D$5:$D$300,MATCH(B110,'Test Cases'!$A$5:$A$300,0)),""))</f>
        <v/>
      </c>
      <c r="E110" s="19"/>
      <c r="F110" s="19"/>
      <c r="G110" s="19"/>
      <c r="H110" s="19"/>
      <c r="I110" s="19"/>
      <c r="J110" s="19"/>
      <c r="K110" s="19"/>
      <c r="L110" s="19"/>
      <c r="M110" s="19"/>
      <c r="N110" s="24"/>
      <c r="O110" s="24"/>
      <c r="P110" s="28" t="str">
        <f t="shared" ca="1" si="3"/>
        <v/>
      </c>
      <c r="Q110" s="19"/>
    </row>
    <row r="111" spans="1:17" x14ac:dyDescent="0.3">
      <c r="A111" s="17" t="s">
        <v>1060</v>
      </c>
      <c r="B111" s="19"/>
      <c r="C111" s="18" t="str">
        <f>IF(B111="","",IFERROR(INDEX('Test Cases'!$C$5:$C$300,MATCH(B111,'Test Cases'!$A$5:$A$300,0)),""))</f>
        <v/>
      </c>
      <c r="D111" s="18" t="str">
        <f>IF(B111="","",IFERROR(INDEX('Test Cases'!$D$5:$D$300,MATCH(B111,'Test Cases'!$A$5:$A$300,0)),""))</f>
        <v/>
      </c>
      <c r="E111" s="19"/>
      <c r="F111" s="19"/>
      <c r="G111" s="19"/>
      <c r="H111" s="19"/>
      <c r="I111" s="19"/>
      <c r="J111" s="19"/>
      <c r="K111" s="19"/>
      <c r="L111" s="19"/>
      <c r="M111" s="19"/>
      <c r="N111" s="24"/>
      <c r="O111" s="24"/>
      <c r="P111" s="28" t="str">
        <f t="shared" ca="1" si="3"/>
        <v/>
      </c>
      <c r="Q111" s="19"/>
    </row>
    <row r="112" spans="1:17" x14ac:dyDescent="0.3">
      <c r="A112" s="17" t="s">
        <v>1061</v>
      </c>
      <c r="B112" s="19"/>
      <c r="C112" s="18" t="str">
        <f>IF(B112="","",IFERROR(INDEX('Test Cases'!$C$5:$C$300,MATCH(B112,'Test Cases'!$A$5:$A$300,0)),""))</f>
        <v/>
      </c>
      <c r="D112" s="18" t="str">
        <f>IF(B112="","",IFERROR(INDEX('Test Cases'!$D$5:$D$300,MATCH(B112,'Test Cases'!$A$5:$A$300,0)),""))</f>
        <v/>
      </c>
      <c r="E112" s="19"/>
      <c r="F112" s="19"/>
      <c r="G112" s="19"/>
      <c r="H112" s="19"/>
      <c r="I112" s="19"/>
      <c r="J112" s="19"/>
      <c r="K112" s="19"/>
      <c r="L112" s="19"/>
      <c r="M112" s="19"/>
      <c r="N112" s="24"/>
      <c r="O112" s="24"/>
      <c r="P112" s="28" t="str">
        <f t="shared" ca="1" si="3"/>
        <v/>
      </c>
      <c r="Q112" s="19"/>
    </row>
    <row r="113" spans="1:17" x14ac:dyDescent="0.3">
      <c r="A113" s="17" t="s">
        <v>1062</v>
      </c>
      <c r="B113" s="19"/>
      <c r="C113" s="18" t="str">
        <f>IF(B113="","",IFERROR(INDEX('Test Cases'!$C$5:$C$300,MATCH(B113,'Test Cases'!$A$5:$A$300,0)),""))</f>
        <v/>
      </c>
      <c r="D113" s="18" t="str">
        <f>IF(B113="","",IFERROR(INDEX('Test Cases'!$D$5:$D$300,MATCH(B113,'Test Cases'!$A$5:$A$300,0)),""))</f>
        <v/>
      </c>
      <c r="E113" s="19"/>
      <c r="F113" s="19"/>
      <c r="G113" s="19"/>
      <c r="H113" s="19"/>
      <c r="I113" s="19"/>
      <c r="J113" s="19"/>
      <c r="K113" s="19"/>
      <c r="L113" s="19"/>
      <c r="M113" s="19"/>
      <c r="N113" s="24"/>
      <c r="O113" s="24"/>
      <c r="P113" s="28" t="str">
        <f t="shared" ca="1" si="3"/>
        <v/>
      </c>
      <c r="Q113" s="19"/>
    </row>
    <row r="114" spans="1:17" x14ac:dyDescent="0.3">
      <c r="A114" s="17" t="s">
        <v>1063</v>
      </c>
      <c r="B114" s="19"/>
      <c r="C114" s="18" t="str">
        <f>IF(B114="","",IFERROR(INDEX('Test Cases'!$C$5:$C$300,MATCH(B114,'Test Cases'!$A$5:$A$300,0)),""))</f>
        <v/>
      </c>
      <c r="D114" s="18" t="str">
        <f>IF(B114="","",IFERROR(INDEX('Test Cases'!$D$5:$D$300,MATCH(B114,'Test Cases'!$A$5:$A$300,0)),""))</f>
        <v/>
      </c>
      <c r="E114" s="19"/>
      <c r="F114" s="19"/>
      <c r="G114" s="19"/>
      <c r="H114" s="19"/>
      <c r="I114" s="19"/>
      <c r="J114" s="19"/>
      <c r="K114" s="19"/>
      <c r="L114" s="19"/>
      <c r="M114" s="19"/>
      <c r="N114" s="24"/>
      <c r="O114" s="24"/>
      <c r="P114" s="28" t="str">
        <f t="shared" ca="1" si="3"/>
        <v/>
      </c>
      <c r="Q114" s="19"/>
    </row>
    <row r="115" spans="1:17" x14ac:dyDescent="0.3">
      <c r="A115" s="17" t="s">
        <v>1064</v>
      </c>
      <c r="B115" s="19"/>
      <c r="C115" s="18" t="str">
        <f>IF(B115="","",IFERROR(INDEX('Test Cases'!$C$5:$C$300,MATCH(B115,'Test Cases'!$A$5:$A$300,0)),""))</f>
        <v/>
      </c>
      <c r="D115" s="18" t="str">
        <f>IF(B115="","",IFERROR(INDEX('Test Cases'!$D$5:$D$300,MATCH(B115,'Test Cases'!$A$5:$A$300,0)),""))</f>
        <v/>
      </c>
      <c r="E115" s="19"/>
      <c r="F115" s="19"/>
      <c r="G115" s="19"/>
      <c r="H115" s="19"/>
      <c r="I115" s="19"/>
      <c r="J115" s="19"/>
      <c r="K115" s="19"/>
      <c r="L115" s="19"/>
      <c r="M115" s="19"/>
      <c r="N115" s="24"/>
      <c r="O115" s="24"/>
      <c r="P115" s="28" t="str">
        <f t="shared" ca="1" si="3"/>
        <v/>
      </c>
      <c r="Q115" s="19"/>
    </row>
    <row r="116" spans="1:17" x14ac:dyDescent="0.3">
      <c r="A116" s="17" t="s">
        <v>1065</v>
      </c>
      <c r="B116" s="19"/>
      <c r="C116" s="18" t="str">
        <f>IF(B116="","",IFERROR(INDEX('Test Cases'!$C$5:$C$300,MATCH(B116,'Test Cases'!$A$5:$A$300,0)),""))</f>
        <v/>
      </c>
      <c r="D116" s="18" t="str">
        <f>IF(B116="","",IFERROR(INDEX('Test Cases'!$D$5:$D$300,MATCH(B116,'Test Cases'!$A$5:$A$300,0)),""))</f>
        <v/>
      </c>
      <c r="E116" s="19"/>
      <c r="F116" s="19"/>
      <c r="G116" s="19"/>
      <c r="H116" s="19"/>
      <c r="I116" s="19"/>
      <c r="J116" s="19"/>
      <c r="K116" s="19"/>
      <c r="L116" s="19"/>
      <c r="M116" s="19"/>
      <c r="N116" s="24"/>
      <c r="O116" s="24"/>
      <c r="P116" s="28" t="str">
        <f t="shared" ca="1" si="3"/>
        <v/>
      </c>
      <c r="Q116" s="19"/>
    </row>
    <row r="117" spans="1:17" x14ac:dyDescent="0.3">
      <c r="A117" s="17" t="s">
        <v>1066</v>
      </c>
      <c r="B117" s="19"/>
      <c r="C117" s="18" t="str">
        <f>IF(B117="","",IFERROR(INDEX('Test Cases'!$C$5:$C$300,MATCH(B117,'Test Cases'!$A$5:$A$300,0)),""))</f>
        <v/>
      </c>
      <c r="D117" s="18" t="str">
        <f>IF(B117="","",IFERROR(INDEX('Test Cases'!$D$5:$D$300,MATCH(B117,'Test Cases'!$A$5:$A$300,0)),""))</f>
        <v/>
      </c>
      <c r="E117" s="19"/>
      <c r="F117" s="19"/>
      <c r="G117" s="19"/>
      <c r="H117" s="19"/>
      <c r="I117" s="19"/>
      <c r="J117" s="19"/>
      <c r="K117" s="19"/>
      <c r="L117" s="19"/>
      <c r="M117" s="19"/>
      <c r="N117" s="24"/>
      <c r="O117" s="24"/>
      <c r="P117" s="28" t="str">
        <f t="shared" ca="1" si="3"/>
        <v/>
      </c>
      <c r="Q117" s="19"/>
    </row>
    <row r="118" spans="1:17" x14ac:dyDescent="0.3">
      <c r="A118" s="17" t="s">
        <v>1067</v>
      </c>
      <c r="B118" s="19"/>
      <c r="C118" s="18" t="str">
        <f>IF(B118="","",IFERROR(INDEX('Test Cases'!$C$5:$C$300,MATCH(B118,'Test Cases'!$A$5:$A$300,0)),""))</f>
        <v/>
      </c>
      <c r="D118" s="18" t="str">
        <f>IF(B118="","",IFERROR(INDEX('Test Cases'!$D$5:$D$300,MATCH(B118,'Test Cases'!$A$5:$A$300,0)),""))</f>
        <v/>
      </c>
      <c r="E118" s="19"/>
      <c r="F118" s="19"/>
      <c r="G118" s="19"/>
      <c r="H118" s="19"/>
      <c r="I118" s="19"/>
      <c r="J118" s="19"/>
      <c r="K118" s="19"/>
      <c r="L118" s="19"/>
      <c r="M118" s="19"/>
      <c r="N118" s="24"/>
      <c r="O118" s="24"/>
      <c r="P118" s="28" t="str">
        <f t="shared" ca="1" si="3"/>
        <v/>
      </c>
      <c r="Q118" s="19"/>
    </row>
    <row r="119" spans="1:17" x14ac:dyDescent="0.3">
      <c r="A119" s="17" t="s">
        <v>1068</v>
      </c>
      <c r="B119" s="19"/>
      <c r="C119" s="18" t="str">
        <f>IF(B119="","",IFERROR(INDEX('Test Cases'!$C$5:$C$300,MATCH(B119,'Test Cases'!$A$5:$A$300,0)),""))</f>
        <v/>
      </c>
      <c r="D119" s="18" t="str">
        <f>IF(B119="","",IFERROR(INDEX('Test Cases'!$D$5:$D$300,MATCH(B119,'Test Cases'!$A$5:$A$300,0)),""))</f>
        <v/>
      </c>
      <c r="E119" s="19"/>
      <c r="F119" s="19"/>
      <c r="G119" s="19"/>
      <c r="H119" s="19"/>
      <c r="I119" s="19"/>
      <c r="J119" s="19"/>
      <c r="K119" s="19"/>
      <c r="L119" s="19"/>
      <c r="M119" s="19"/>
      <c r="N119" s="24"/>
      <c r="O119" s="24"/>
      <c r="P119" s="28" t="str">
        <f t="shared" ca="1" si="3"/>
        <v/>
      </c>
      <c r="Q119" s="19"/>
    </row>
    <row r="120" spans="1:17" x14ac:dyDescent="0.3">
      <c r="A120" s="17" t="s">
        <v>1069</v>
      </c>
      <c r="B120" s="19"/>
      <c r="C120" s="18" t="str">
        <f>IF(B120="","",IFERROR(INDEX('Test Cases'!$C$5:$C$300,MATCH(B120,'Test Cases'!$A$5:$A$300,0)),""))</f>
        <v/>
      </c>
      <c r="D120" s="18" t="str">
        <f>IF(B120="","",IFERROR(INDEX('Test Cases'!$D$5:$D$300,MATCH(B120,'Test Cases'!$A$5:$A$300,0)),""))</f>
        <v/>
      </c>
      <c r="E120" s="19"/>
      <c r="F120" s="19"/>
      <c r="G120" s="19"/>
      <c r="H120" s="19"/>
      <c r="I120" s="19"/>
      <c r="J120" s="19"/>
      <c r="K120" s="19"/>
      <c r="L120" s="19"/>
      <c r="M120" s="19"/>
      <c r="N120" s="24"/>
      <c r="O120" s="24"/>
      <c r="P120" s="28" t="str">
        <f t="shared" ca="1" si="3"/>
        <v/>
      </c>
      <c r="Q120" s="19"/>
    </row>
    <row r="121" spans="1:17" x14ac:dyDescent="0.3">
      <c r="A121" s="17" t="s">
        <v>1070</v>
      </c>
      <c r="B121" s="19"/>
      <c r="C121" s="18" t="str">
        <f>IF(B121="","",IFERROR(INDEX('Test Cases'!$C$5:$C$300,MATCH(B121,'Test Cases'!$A$5:$A$300,0)),""))</f>
        <v/>
      </c>
      <c r="D121" s="18" t="str">
        <f>IF(B121="","",IFERROR(INDEX('Test Cases'!$D$5:$D$300,MATCH(B121,'Test Cases'!$A$5:$A$300,0)),""))</f>
        <v/>
      </c>
      <c r="E121" s="19"/>
      <c r="F121" s="19"/>
      <c r="G121" s="19"/>
      <c r="H121" s="19"/>
      <c r="I121" s="19"/>
      <c r="J121" s="19"/>
      <c r="K121" s="19"/>
      <c r="L121" s="19"/>
      <c r="M121" s="19"/>
      <c r="N121" s="24"/>
      <c r="O121" s="24"/>
      <c r="P121" s="28" t="str">
        <f t="shared" ca="1" si="3"/>
        <v/>
      </c>
      <c r="Q121" s="19"/>
    </row>
    <row r="122" spans="1:17" x14ac:dyDescent="0.3">
      <c r="A122" s="17" t="s">
        <v>1071</v>
      </c>
      <c r="B122" s="19"/>
      <c r="C122" s="18" t="str">
        <f>IF(B122="","",IFERROR(INDEX('Test Cases'!$C$5:$C$300,MATCH(B122,'Test Cases'!$A$5:$A$300,0)),""))</f>
        <v/>
      </c>
      <c r="D122" s="18" t="str">
        <f>IF(B122="","",IFERROR(INDEX('Test Cases'!$D$5:$D$300,MATCH(B122,'Test Cases'!$A$5:$A$300,0)),""))</f>
        <v/>
      </c>
      <c r="E122" s="19"/>
      <c r="F122" s="19"/>
      <c r="G122" s="19"/>
      <c r="H122" s="19"/>
      <c r="I122" s="19"/>
      <c r="J122" s="19"/>
      <c r="K122" s="19"/>
      <c r="L122" s="19"/>
      <c r="M122" s="19"/>
      <c r="N122" s="24"/>
      <c r="O122" s="24"/>
      <c r="P122" s="28" t="str">
        <f t="shared" ca="1" si="3"/>
        <v/>
      </c>
      <c r="Q122" s="19"/>
    </row>
    <row r="123" spans="1:17" x14ac:dyDescent="0.3">
      <c r="A123" s="17" t="s">
        <v>1072</v>
      </c>
      <c r="B123" s="19"/>
      <c r="C123" s="18" t="str">
        <f>IF(B123="","",IFERROR(INDEX('Test Cases'!$C$5:$C$300,MATCH(B123,'Test Cases'!$A$5:$A$300,0)),""))</f>
        <v/>
      </c>
      <c r="D123" s="18" t="str">
        <f>IF(B123="","",IFERROR(INDEX('Test Cases'!$D$5:$D$300,MATCH(B123,'Test Cases'!$A$5:$A$300,0)),""))</f>
        <v/>
      </c>
      <c r="E123" s="19"/>
      <c r="F123" s="19"/>
      <c r="G123" s="19"/>
      <c r="H123" s="19"/>
      <c r="I123" s="19"/>
      <c r="J123" s="19"/>
      <c r="K123" s="19"/>
      <c r="L123" s="19"/>
      <c r="M123" s="19"/>
      <c r="N123" s="24"/>
      <c r="O123" s="24"/>
      <c r="P123" s="28" t="str">
        <f t="shared" ca="1" si="3"/>
        <v/>
      </c>
      <c r="Q123" s="19"/>
    </row>
    <row r="124" spans="1:17" x14ac:dyDescent="0.3">
      <c r="A124" s="17" t="s">
        <v>1073</v>
      </c>
      <c r="B124" s="19"/>
      <c r="C124" s="18" t="str">
        <f>IF(B124="","",IFERROR(INDEX('Test Cases'!$C$5:$C$300,MATCH(B124,'Test Cases'!$A$5:$A$300,0)),""))</f>
        <v/>
      </c>
      <c r="D124" s="18" t="str">
        <f>IF(B124="","",IFERROR(INDEX('Test Cases'!$D$5:$D$300,MATCH(B124,'Test Cases'!$A$5:$A$300,0)),""))</f>
        <v/>
      </c>
      <c r="E124" s="19"/>
      <c r="F124" s="19"/>
      <c r="G124" s="19"/>
      <c r="H124" s="19"/>
      <c r="I124" s="19"/>
      <c r="J124" s="19"/>
      <c r="K124" s="19"/>
      <c r="L124" s="19"/>
      <c r="M124" s="19"/>
      <c r="N124" s="24"/>
      <c r="O124" s="24"/>
      <c r="P124" s="28" t="str">
        <f t="shared" ca="1" si="3"/>
        <v/>
      </c>
      <c r="Q124" s="19"/>
    </row>
    <row r="125" spans="1:17" x14ac:dyDescent="0.3">
      <c r="A125" s="17" t="s">
        <v>1074</v>
      </c>
      <c r="B125" s="19"/>
      <c r="C125" s="18" t="str">
        <f>IF(B125="","",IFERROR(INDEX('Test Cases'!$C$5:$C$300,MATCH(B125,'Test Cases'!$A$5:$A$300,0)),""))</f>
        <v/>
      </c>
      <c r="D125" s="18" t="str">
        <f>IF(B125="","",IFERROR(INDEX('Test Cases'!$D$5:$D$300,MATCH(B125,'Test Cases'!$A$5:$A$300,0)),""))</f>
        <v/>
      </c>
      <c r="E125" s="19"/>
      <c r="F125" s="19"/>
      <c r="G125" s="19"/>
      <c r="H125" s="19"/>
      <c r="I125" s="19"/>
      <c r="J125" s="19"/>
      <c r="K125" s="19"/>
      <c r="L125" s="19"/>
      <c r="M125" s="19"/>
      <c r="N125" s="24"/>
      <c r="O125" s="24"/>
      <c r="P125" s="28" t="str">
        <f t="shared" ca="1" si="3"/>
        <v/>
      </c>
      <c r="Q125" s="19"/>
    </row>
    <row r="126" spans="1:17" x14ac:dyDescent="0.3">
      <c r="A126" s="17" t="s">
        <v>1075</v>
      </c>
      <c r="B126" s="19"/>
      <c r="C126" s="18" t="str">
        <f>IF(B126="","",IFERROR(INDEX('Test Cases'!$C$5:$C$300,MATCH(B126,'Test Cases'!$A$5:$A$300,0)),""))</f>
        <v/>
      </c>
      <c r="D126" s="18" t="str">
        <f>IF(B126="","",IFERROR(INDEX('Test Cases'!$D$5:$D$300,MATCH(B126,'Test Cases'!$A$5:$A$300,0)),""))</f>
        <v/>
      </c>
      <c r="E126" s="19"/>
      <c r="F126" s="19"/>
      <c r="G126" s="19"/>
      <c r="H126" s="19"/>
      <c r="I126" s="19"/>
      <c r="J126" s="19"/>
      <c r="K126" s="19"/>
      <c r="L126" s="19"/>
      <c r="M126" s="19"/>
      <c r="N126" s="24"/>
      <c r="O126" s="24"/>
      <c r="P126" s="28" t="str">
        <f t="shared" ca="1" si="3"/>
        <v/>
      </c>
      <c r="Q126" s="19"/>
    </row>
    <row r="127" spans="1:17" x14ac:dyDescent="0.3">
      <c r="A127" s="17" t="s">
        <v>1076</v>
      </c>
      <c r="B127" s="19"/>
      <c r="C127" s="18" t="str">
        <f>IF(B127="","",IFERROR(INDEX('Test Cases'!$C$5:$C$300,MATCH(B127,'Test Cases'!$A$5:$A$300,0)),""))</f>
        <v/>
      </c>
      <c r="D127" s="18" t="str">
        <f>IF(B127="","",IFERROR(INDEX('Test Cases'!$D$5:$D$300,MATCH(B127,'Test Cases'!$A$5:$A$300,0)),""))</f>
        <v/>
      </c>
      <c r="E127" s="19"/>
      <c r="F127" s="19"/>
      <c r="G127" s="19"/>
      <c r="H127" s="19"/>
      <c r="I127" s="19"/>
      <c r="J127" s="19"/>
      <c r="K127" s="19"/>
      <c r="L127" s="19"/>
      <c r="M127" s="19"/>
      <c r="N127" s="24"/>
      <c r="O127" s="24"/>
      <c r="P127" s="28" t="str">
        <f t="shared" ca="1" si="3"/>
        <v/>
      </c>
      <c r="Q127" s="19"/>
    </row>
    <row r="128" spans="1:17" x14ac:dyDescent="0.3">
      <c r="A128" s="17" t="s">
        <v>1077</v>
      </c>
      <c r="B128" s="19"/>
      <c r="C128" s="18" t="str">
        <f>IF(B128="","",IFERROR(INDEX('Test Cases'!$C$5:$C$300,MATCH(B128,'Test Cases'!$A$5:$A$300,0)),""))</f>
        <v/>
      </c>
      <c r="D128" s="18" t="str">
        <f>IF(B128="","",IFERROR(INDEX('Test Cases'!$D$5:$D$300,MATCH(B128,'Test Cases'!$A$5:$A$300,0)),""))</f>
        <v/>
      </c>
      <c r="E128" s="19"/>
      <c r="F128" s="19"/>
      <c r="G128" s="19"/>
      <c r="H128" s="19"/>
      <c r="I128" s="19"/>
      <c r="J128" s="19"/>
      <c r="K128" s="19"/>
      <c r="L128" s="19"/>
      <c r="M128" s="19"/>
      <c r="N128" s="24"/>
      <c r="O128" s="24"/>
      <c r="P128" s="28" t="str">
        <f t="shared" ca="1" si="3"/>
        <v/>
      </c>
      <c r="Q128" s="19"/>
    </row>
    <row r="129" spans="1:17" x14ac:dyDescent="0.3">
      <c r="A129" s="17" t="s">
        <v>1078</v>
      </c>
      <c r="B129" s="19"/>
      <c r="C129" s="18" t="str">
        <f>IF(B129="","",IFERROR(INDEX('Test Cases'!$C$5:$C$300,MATCH(B129,'Test Cases'!$A$5:$A$300,0)),""))</f>
        <v/>
      </c>
      <c r="D129" s="18" t="str">
        <f>IF(B129="","",IFERROR(INDEX('Test Cases'!$D$5:$D$300,MATCH(B129,'Test Cases'!$A$5:$A$300,0)),""))</f>
        <v/>
      </c>
      <c r="E129" s="19"/>
      <c r="F129" s="19"/>
      <c r="G129" s="19"/>
      <c r="H129" s="19"/>
      <c r="I129" s="19"/>
      <c r="J129" s="19"/>
      <c r="K129" s="19"/>
      <c r="L129" s="19"/>
      <c r="M129" s="19"/>
      <c r="N129" s="24"/>
      <c r="O129" s="24"/>
      <c r="P129" s="28" t="str">
        <f t="shared" ca="1" si="3"/>
        <v/>
      </c>
      <c r="Q129" s="19"/>
    </row>
    <row r="130" spans="1:17" x14ac:dyDescent="0.3">
      <c r="A130" s="17" t="s">
        <v>1079</v>
      </c>
      <c r="B130" s="19"/>
      <c r="C130" s="18" t="str">
        <f>IF(B130="","",IFERROR(INDEX('Test Cases'!$C$5:$C$300,MATCH(B130,'Test Cases'!$A$5:$A$300,0)),""))</f>
        <v/>
      </c>
      <c r="D130" s="18" t="str">
        <f>IF(B130="","",IFERROR(INDEX('Test Cases'!$D$5:$D$300,MATCH(B130,'Test Cases'!$A$5:$A$300,0)),""))</f>
        <v/>
      </c>
      <c r="E130" s="19"/>
      <c r="F130" s="19"/>
      <c r="G130" s="19"/>
      <c r="H130" s="19"/>
      <c r="I130" s="19"/>
      <c r="J130" s="19"/>
      <c r="K130" s="19"/>
      <c r="L130" s="19"/>
      <c r="M130" s="19"/>
      <c r="N130" s="24"/>
      <c r="O130" s="24"/>
      <c r="P130" s="28" t="str">
        <f t="shared" ca="1" si="3"/>
        <v/>
      </c>
      <c r="Q130" s="19"/>
    </row>
    <row r="131" spans="1:17" x14ac:dyDescent="0.3">
      <c r="A131" s="17" t="s">
        <v>1080</v>
      </c>
      <c r="B131" s="19"/>
      <c r="C131" s="18" t="str">
        <f>IF(B131="","",IFERROR(INDEX('Test Cases'!$C$5:$C$300,MATCH(B131,'Test Cases'!$A$5:$A$300,0)),""))</f>
        <v/>
      </c>
      <c r="D131" s="18" t="str">
        <f>IF(B131="","",IFERROR(INDEX('Test Cases'!$D$5:$D$300,MATCH(B131,'Test Cases'!$A$5:$A$300,0)),""))</f>
        <v/>
      </c>
      <c r="E131" s="19"/>
      <c r="F131" s="19"/>
      <c r="G131" s="19"/>
      <c r="H131" s="19"/>
      <c r="I131" s="19"/>
      <c r="J131" s="19"/>
      <c r="K131" s="19"/>
      <c r="L131" s="19"/>
      <c r="M131" s="19"/>
      <c r="N131" s="24"/>
      <c r="O131" s="24"/>
      <c r="P131" s="28" t="str">
        <f t="shared" ca="1" si="3"/>
        <v/>
      </c>
      <c r="Q131" s="19"/>
    </row>
    <row r="132" spans="1:17" x14ac:dyDescent="0.3">
      <c r="A132" s="17" t="s">
        <v>1081</v>
      </c>
      <c r="B132" s="19"/>
      <c r="C132" s="18" t="str">
        <f>IF(B132="","",IFERROR(INDEX('Test Cases'!$C$5:$C$300,MATCH(B132,'Test Cases'!$A$5:$A$300,0)),""))</f>
        <v/>
      </c>
      <c r="D132" s="18" t="str">
        <f>IF(B132="","",IFERROR(INDEX('Test Cases'!$D$5:$D$300,MATCH(B132,'Test Cases'!$A$5:$A$300,0)),""))</f>
        <v/>
      </c>
      <c r="E132" s="19"/>
      <c r="F132" s="19"/>
      <c r="G132" s="19"/>
      <c r="H132" s="19"/>
      <c r="I132" s="19"/>
      <c r="J132" s="19"/>
      <c r="K132" s="19"/>
      <c r="L132" s="19"/>
      <c r="M132" s="19"/>
      <c r="N132" s="24"/>
      <c r="O132" s="24"/>
      <c r="P132" s="28" t="str">
        <f t="shared" ca="1" si="3"/>
        <v/>
      </c>
      <c r="Q132" s="19"/>
    </row>
    <row r="133" spans="1:17" x14ac:dyDescent="0.3">
      <c r="A133" s="17" t="s">
        <v>1082</v>
      </c>
      <c r="B133" s="19"/>
      <c r="C133" s="18" t="str">
        <f>IF(B133="","",IFERROR(INDEX('Test Cases'!$C$5:$C$300,MATCH(B133,'Test Cases'!$A$5:$A$300,0)),""))</f>
        <v/>
      </c>
      <c r="D133" s="18" t="str">
        <f>IF(B133="","",IFERROR(INDEX('Test Cases'!$D$5:$D$300,MATCH(B133,'Test Cases'!$A$5:$A$300,0)),""))</f>
        <v/>
      </c>
      <c r="E133" s="19"/>
      <c r="F133" s="19"/>
      <c r="G133" s="19"/>
      <c r="H133" s="19"/>
      <c r="I133" s="19"/>
      <c r="J133" s="19"/>
      <c r="K133" s="19"/>
      <c r="L133" s="19"/>
      <c r="M133" s="19"/>
      <c r="N133" s="24"/>
      <c r="O133" s="24"/>
      <c r="P133" s="28" t="str">
        <f t="shared" ref="P133:P164" ca="1" si="4">IF(N133="","",IF(O133&lt;&gt;"",O133-N133,TODAY()-N133))</f>
        <v/>
      </c>
      <c r="Q133" s="19"/>
    </row>
    <row r="134" spans="1:17" x14ac:dyDescent="0.3">
      <c r="A134" s="17" t="s">
        <v>1083</v>
      </c>
      <c r="B134" s="19"/>
      <c r="C134" s="18" t="str">
        <f>IF(B134="","",IFERROR(INDEX('Test Cases'!$C$5:$C$300,MATCH(B134,'Test Cases'!$A$5:$A$300,0)),""))</f>
        <v/>
      </c>
      <c r="D134" s="18" t="str">
        <f>IF(B134="","",IFERROR(INDEX('Test Cases'!$D$5:$D$300,MATCH(B134,'Test Cases'!$A$5:$A$300,0)),""))</f>
        <v/>
      </c>
      <c r="E134" s="19"/>
      <c r="F134" s="19"/>
      <c r="G134" s="19"/>
      <c r="H134" s="19"/>
      <c r="I134" s="19"/>
      <c r="J134" s="19"/>
      <c r="K134" s="19"/>
      <c r="L134" s="19"/>
      <c r="M134" s="19"/>
      <c r="N134" s="24"/>
      <c r="O134" s="24"/>
      <c r="P134" s="28" t="str">
        <f t="shared" ca="1" si="4"/>
        <v/>
      </c>
      <c r="Q134" s="19"/>
    </row>
    <row r="135" spans="1:17" x14ac:dyDescent="0.3">
      <c r="A135" s="17" t="s">
        <v>1084</v>
      </c>
      <c r="B135" s="19"/>
      <c r="C135" s="18" t="str">
        <f>IF(B135="","",IFERROR(INDEX('Test Cases'!$C$5:$C$300,MATCH(B135,'Test Cases'!$A$5:$A$300,0)),""))</f>
        <v/>
      </c>
      <c r="D135" s="18" t="str">
        <f>IF(B135="","",IFERROR(INDEX('Test Cases'!$D$5:$D$300,MATCH(B135,'Test Cases'!$A$5:$A$300,0)),""))</f>
        <v/>
      </c>
      <c r="E135" s="19"/>
      <c r="F135" s="19"/>
      <c r="G135" s="19"/>
      <c r="H135" s="19"/>
      <c r="I135" s="19"/>
      <c r="J135" s="19"/>
      <c r="K135" s="19"/>
      <c r="L135" s="19"/>
      <c r="M135" s="19"/>
      <c r="N135" s="24"/>
      <c r="O135" s="24"/>
      <c r="P135" s="28" t="str">
        <f t="shared" ca="1" si="4"/>
        <v/>
      </c>
      <c r="Q135" s="19"/>
    </row>
    <row r="136" spans="1:17" x14ac:dyDescent="0.3">
      <c r="A136" s="17" t="s">
        <v>1085</v>
      </c>
      <c r="B136" s="19"/>
      <c r="C136" s="18" t="str">
        <f>IF(B136="","",IFERROR(INDEX('Test Cases'!$C$5:$C$300,MATCH(B136,'Test Cases'!$A$5:$A$300,0)),""))</f>
        <v/>
      </c>
      <c r="D136" s="18" t="str">
        <f>IF(B136="","",IFERROR(INDEX('Test Cases'!$D$5:$D$300,MATCH(B136,'Test Cases'!$A$5:$A$300,0)),""))</f>
        <v/>
      </c>
      <c r="E136" s="19"/>
      <c r="F136" s="19"/>
      <c r="G136" s="19"/>
      <c r="H136" s="19"/>
      <c r="I136" s="19"/>
      <c r="J136" s="19"/>
      <c r="K136" s="19"/>
      <c r="L136" s="19"/>
      <c r="M136" s="19"/>
      <c r="N136" s="24"/>
      <c r="O136" s="24"/>
      <c r="P136" s="28" t="str">
        <f t="shared" ca="1" si="4"/>
        <v/>
      </c>
      <c r="Q136" s="19"/>
    </row>
    <row r="137" spans="1:17" x14ac:dyDescent="0.3">
      <c r="A137" s="17" t="s">
        <v>1086</v>
      </c>
      <c r="B137" s="19"/>
      <c r="C137" s="18" t="str">
        <f>IF(B137="","",IFERROR(INDEX('Test Cases'!$C$5:$C$300,MATCH(B137,'Test Cases'!$A$5:$A$300,0)),""))</f>
        <v/>
      </c>
      <c r="D137" s="18" t="str">
        <f>IF(B137="","",IFERROR(INDEX('Test Cases'!$D$5:$D$300,MATCH(B137,'Test Cases'!$A$5:$A$300,0)),""))</f>
        <v/>
      </c>
      <c r="E137" s="19"/>
      <c r="F137" s="19"/>
      <c r="G137" s="19"/>
      <c r="H137" s="19"/>
      <c r="I137" s="19"/>
      <c r="J137" s="19"/>
      <c r="K137" s="19"/>
      <c r="L137" s="19"/>
      <c r="M137" s="19"/>
      <c r="N137" s="24"/>
      <c r="O137" s="24"/>
      <c r="P137" s="28" t="str">
        <f t="shared" ca="1" si="4"/>
        <v/>
      </c>
      <c r="Q137" s="19"/>
    </row>
    <row r="138" spans="1:17" x14ac:dyDescent="0.3">
      <c r="A138" s="17" t="s">
        <v>1087</v>
      </c>
      <c r="B138" s="19"/>
      <c r="C138" s="18" t="str">
        <f>IF(B138="","",IFERROR(INDEX('Test Cases'!$C$5:$C$300,MATCH(B138,'Test Cases'!$A$5:$A$300,0)),""))</f>
        <v/>
      </c>
      <c r="D138" s="18" t="str">
        <f>IF(B138="","",IFERROR(INDEX('Test Cases'!$D$5:$D$300,MATCH(B138,'Test Cases'!$A$5:$A$300,0)),""))</f>
        <v/>
      </c>
      <c r="E138" s="19"/>
      <c r="F138" s="19"/>
      <c r="G138" s="19"/>
      <c r="H138" s="19"/>
      <c r="I138" s="19"/>
      <c r="J138" s="19"/>
      <c r="K138" s="19"/>
      <c r="L138" s="19"/>
      <c r="M138" s="19"/>
      <c r="N138" s="24"/>
      <c r="O138" s="24"/>
      <c r="P138" s="28" t="str">
        <f t="shared" ca="1" si="4"/>
        <v/>
      </c>
      <c r="Q138" s="19"/>
    </row>
    <row r="139" spans="1:17" x14ac:dyDescent="0.3">
      <c r="A139" s="17" t="s">
        <v>1088</v>
      </c>
      <c r="B139" s="19"/>
      <c r="C139" s="18" t="str">
        <f>IF(B139="","",IFERROR(INDEX('Test Cases'!$C$5:$C$300,MATCH(B139,'Test Cases'!$A$5:$A$300,0)),""))</f>
        <v/>
      </c>
      <c r="D139" s="18" t="str">
        <f>IF(B139="","",IFERROR(INDEX('Test Cases'!$D$5:$D$300,MATCH(B139,'Test Cases'!$A$5:$A$300,0)),""))</f>
        <v/>
      </c>
      <c r="E139" s="19"/>
      <c r="F139" s="19"/>
      <c r="G139" s="19"/>
      <c r="H139" s="19"/>
      <c r="I139" s="19"/>
      <c r="J139" s="19"/>
      <c r="K139" s="19"/>
      <c r="L139" s="19"/>
      <c r="M139" s="19"/>
      <c r="N139" s="24"/>
      <c r="O139" s="24"/>
      <c r="P139" s="28" t="str">
        <f t="shared" ca="1" si="4"/>
        <v/>
      </c>
      <c r="Q139" s="19"/>
    </row>
    <row r="140" spans="1:17" x14ac:dyDescent="0.3">
      <c r="A140" s="17" t="s">
        <v>1089</v>
      </c>
      <c r="B140" s="19"/>
      <c r="C140" s="18" t="str">
        <f>IF(B140="","",IFERROR(INDEX('Test Cases'!$C$5:$C$300,MATCH(B140,'Test Cases'!$A$5:$A$300,0)),""))</f>
        <v/>
      </c>
      <c r="D140" s="18" t="str">
        <f>IF(B140="","",IFERROR(INDEX('Test Cases'!$D$5:$D$300,MATCH(B140,'Test Cases'!$A$5:$A$300,0)),""))</f>
        <v/>
      </c>
      <c r="E140" s="19"/>
      <c r="F140" s="19"/>
      <c r="G140" s="19"/>
      <c r="H140" s="19"/>
      <c r="I140" s="19"/>
      <c r="J140" s="19"/>
      <c r="K140" s="19"/>
      <c r="L140" s="19"/>
      <c r="M140" s="19"/>
      <c r="N140" s="24"/>
      <c r="O140" s="24"/>
      <c r="P140" s="28" t="str">
        <f t="shared" ca="1" si="4"/>
        <v/>
      </c>
      <c r="Q140" s="19"/>
    </row>
    <row r="141" spans="1:17" x14ac:dyDescent="0.3">
      <c r="A141" s="17" t="s">
        <v>1090</v>
      </c>
      <c r="B141" s="19"/>
      <c r="C141" s="18" t="str">
        <f>IF(B141="","",IFERROR(INDEX('Test Cases'!$C$5:$C$300,MATCH(B141,'Test Cases'!$A$5:$A$300,0)),""))</f>
        <v/>
      </c>
      <c r="D141" s="18" t="str">
        <f>IF(B141="","",IFERROR(INDEX('Test Cases'!$D$5:$D$300,MATCH(B141,'Test Cases'!$A$5:$A$300,0)),""))</f>
        <v/>
      </c>
      <c r="E141" s="19"/>
      <c r="F141" s="19"/>
      <c r="G141" s="19"/>
      <c r="H141" s="19"/>
      <c r="I141" s="19"/>
      <c r="J141" s="19"/>
      <c r="K141" s="19"/>
      <c r="L141" s="19"/>
      <c r="M141" s="19"/>
      <c r="N141" s="24"/>
      <c r="O141" s="24"/>
      <c r="P141" s="28" t="str">
        <f t="shared" ca="1" si="4"/>
        <v/>
      </c>
      <c r="Q141" s="19"/>
    </row>
    <row r="142" spans="1:17" x14ac:dyDescent="0.3">
      <c r="A142" s="17" t="s">
        <v>1091</v>
      </c>
      <c r="B142" s="19"/>
      <c r="C142" s="18" t="str">
        <f>IF(B142="","",IFERROR(INDEX('Test Cases'!$C$5:$C$300,MATCH(B142,'Test Cases'!$A$5:$A$300,0)),""))</f>
        <v/>
      </c>
      <c r="D142" s="18" t="str">
        <f>IF(B142="","",IFERROR(INDEX('Test Cases'!$D$5:$D$300,MATCH(B142,'Test Cases'!$A$5:$A$300,0)),""))</f>
        <v/>
      </c>
      <c r="E142" s="19"/>
      <c r="F142" s="19"/>
      <c r="G142" s="19"/>
      <c r="H142" s="19"/>
      <c r="I142" s="19"/>
      <c r="J142" s="19"/>
      <c r="K142" s="19"/>
      <c r="L142" s="19"/>
      <c r="M142" s="19"/>
      <c r="N142" s="24"/>
      <c r="O142" s="24"/>
      <c r="P142" s="28" t="str">
        <f t="shared" ca="1" si="4"/>
        <v/>
      </c>
      <c r="Q142" s="19"/>
    </row>
    <row r="143" spans="1:17" x14ac:dyDescent="0.3">
      <c r="A143" s="17" t="s">
        <v>1092</v>
      </c>
      <c r="B143" s="19"/>
      <c r="C143" s="18" t="str">
        <f>IF(B143="","",IFERROR(INDEX('Test Cases'!$C$5:$C$300,MATCH(B143,'Test Cases'!$A$5:$A$300,0)),""))</f>
        <v/>
      </c>
      <c r="D143" s="18" t="str">
        <f>IF(B143="","",IFERROR(INDEX('Test Cases'!$D$5:$D$300,MATCH(B143,'Test Cases'!$A$5:$A$300,0)),""))</f>
        <v/>
      </c>
      <c r="E143" s="19"/>
      <c r="F143" s="19"/>
      <c r="G143" s="19"/>
      <c r="H143" s="19"/>
      <c r="I143" s="19"/>
      <c r="J143" s="19"/>
      <c r="K143" s="19"/>
      <c r="L143" s="19"/>
      <c r="M143" s="19"/>
      <c r="N143" s="24"/>
      <c r="O143" s="24"/>
      <c r="P143" s="28" t="str">
        <f t="shared" ca="1" si="4"/>
        <v/>
      </c>
      <c r="Q143" s="19"/>
    </row>
    <row r="144" spans="1:17" x14ac:dyDescent="0.3">
      <c r="A144" s="17" t="s">
        <v>1093</v>
      </c>
      <c r="B144" s="19"/>
      <c r="C144" s="18" t="str">
        <f>IF(B144="","",IFERROR(INDEX('Test Cases'!$C$5:$C$300,MATCH(B144,'Test Cases'!$A$5:$A$300,0)),""))</f>
        <v/>
      </c>
      <c r="D144" s="18" t="str">
        <f>IF(B144="","",IFERROR(INDEX('Test Cases'!$D$5:$D$300,MATCH(B144,'Test Cases'!$A$5:$A$300,0)),""))</f>
        <v/>
      </c>
      <c r="E144" s="19"/>
      <c r="F144" s="19"/>
      <c r="G144" s="19"/>
      <c r="H144" s="19"/>
      <c r="I144" s="19"/>
      <c r="J144" s="19"/>
      <c r="K144" s="19"/>
      <c r="L144" s="19"/>
      <c r="M144" s="19"/>
      <c r="N144" s="24"/>
      <c r="O144" s="24"/>
      <c r="P144" s="28" t="str">
        <f t="shared" ca="1" si="4"/>
        <v/>
      </c>
      <c r="Q144" s="19"/>
    </row>
    <row r="145" spans="1:17" x14ac:dyDescent="0.3">
      <c r="A145" s="17" t="s">
        <v>1094</v>
      </c>
      <c r="B145" s="19"/>
      <c r="C145" s="18" t="str">
        <f>IF(B145="","",IFERROR(INDEX('Test Cases'!$C$5:$C$300,MATCH(B145,'Test Cases'!$A$5:$A$300,0)),""))</f>
        <v/>
      </c>
      <c r="D145" s="18" t="str">
        <f>IF(B145="","",IFERROR(INDEX('Test Cases'!$D$5:$D$300,MATCH(B145,'Test Cases'!$A$5:$A$300,0)),""))</f>
        <v/>
      </c>
      <c r="E145" s="19"/>
      <c r="F145" s="19"/>
      <c r="G145" s="19"/>
      <c r="H145" s="19"/>
      <c r="I145" s="19"/>
      <c r="J145" s="19"/>
      <c r="K145" s="19"/>
      <c r="L145" s="19"/>
      <c r="M145" s="19"/>
      <c r="N145" s="24"/>
      <c r="O145" s="24"/>
      <c r="P145" s="28" t="str">
        <f t="shared" ca="1" si="4"/>
        <v/>
      </c>
      <c r="Q145" s="19"/>
    </row>
    <row r="146" spans="1:17" x14ac:dyDescent="0.3">
      <c r="A146" s="17" t="s">
        <v>1095</v>
      </c>
      <c r="B146" s="19"/>
      <c r="C146" s="18" t="str">
        <f>IF(B146="","",IFERROR(INDEX('Test Cases'!$C$5:$C$300,MATCH(B146,'Test Cases'!$A$5:$A$300,0)),""))</f>
        <v/>
      </c>
      <c r="D146" s="18" t="str">
        <f>IF(B146="","",IFERROR(INDEX('Test Cases'!$D$5:$D$300,MATCH(B146,'Test Cases'!$A$5:$A$300,0)),""))</f>
        <v/>
      </c>
      <c r="E146" s="19"/>
      <c r="F146" s="19"/>
      <c r="G146" s="19"/>
      <c r="H146" s="19"/>
      <c r="I146" s="19"/>
      <c r="J146" s="19"/>
      <c r="K146" s="19"/>
      <c r="L146" s="19"/>
      <c r="M146" s="19"/>
      <c r="N146" s="24"/>
      <c r="O146" s="24"/>
      <c r="P146" s="28" t="str">
        <f t="shared" ca="1" si="4"/>
        <v/>
      </c>
      <c r="Q146" s="19"/>
    </row>
    <row r="147" spans="1:17" x14ac:dyDescent="0.3">
      <c r="A147" s="17" t="s">
        <v>1096</v>
      </c>
      <c r="B147" s="19"/>
      <c r="C147" s="18" t="str">
        <f>IF(B147="","",IFERROR(INDEX('Test Cases'!$C$5:$C$300,MATCH(B147,'Test Cases'!$A$5:$A$300,0)),""))</f>
        <v/>
      </c>
      <c r="D147" s="18" t="str">
        <f>IF(B147="","",IFERROR(INDEX('Test Cases'!$D$5:$D$300,MATCH(B147,'Test Cases'!$A$5:$A$300,0)),""))</f>
        <v/>
      </c>
      <c r="E147" s="19"/>
      <c r="F147" s="19"/>
      <c r="G147" s="19"/>
      <c r="H147" s="19"/>
      <c r="I147" s="19"/>
      <c r="J147" s="19"/>
      <c r="K147" s="19"/>
      <c r="L147" s="19"/>
      <c r="M147" s="19"/>
      <c r="N147" s="24"/>
      <c r="O147" s="24"/>
      <c r="P147" s="28" t="str">
        <f t="shared" ca="1" si="4"/>
        <v/>
      </c>
      <c r="Q147" s="19"/>
    </row>
    <row r="148" spans="1:17" x14ac:dyDescent="0.3">
      <c r="A148" s="17" t="s">
        <v>1097</v>
      </c>
      <c r="B148" s="19"/>
      <c r="C148" s="18" t="str">
        <f>IF(B148="","",IFERROR(INDEX('Test Cases'!$C$5:$C$300,MATCH(B148,'Test Cases'!$A$5:$A$300,0)),""))</f>
        <v/>
      </c>
      <c r="D148" s="18" t="str">
        <f>IF(B148="","",IFERROR(INDEX('Test Cases'!$D$5:$D$300,MATCH(B148,'Test Cases'!$A$5:$A$300,0)),""))</f>
        <v/>
      </c>
      <c r="E148" s="19"/>
      <c r="F148" s="19"/>
      <c r="G148" s="19"/>
      <c r="H148" s="19"/>
      <c r="I148" s="19"/>
      <c r="J148" s="19"/>
      <c r="K148" s="19"/>
      <c r="L148" s="19"/>
      <c r="M148" s="19"/>
      <c r="N148" s="24"/>
      <c r="O148" s="24"/>
      <c r="P148" s="28" t="str">
        <f t="shared" ca="1" si="4"/>
        <v/>
      </c>
      <c r="Q148" s="19"/>
    </row>
    <row r="149" spans="1:17" x14ac:dyDescent="0.3">
      <c r="A149" s="17" t="s">
        <v>1098</v>
      </c>
      <c r="B149" s="19"/>
      <c r="C149" s="18" t="str">
        <f>IF(B149="","",IFERROR(INDEX('Test Cases'!$C$5:$C$300,MATCH(B149,'Test Cases'!$A$5:$A$300,0)),""))</f>
        <v/>
      </c>
      <c r="D149" s="18" t="str">
        <f>IF(B149="","",IFERROR(INDEX('Test Cases'!$D$5:$D$300,MATCH(B149,'Test Cases'!$A$5:$A$300,0)),""))</f>
        <v/>
      </c>
      <c r="E149" s="19"/>
      <c r="F149" s="19"/>
      <c r="G149" s="19"/>
      <c r="H149" s="19"/>
      <c r="I149" s="19"/>
      <c r="J149" s="19"/>
      <c r="K149" s="19"/>
      <c r="L149" s="19"/>
      <c r="M149" s="19"/>
      <c r="N149" s="24"/>
      <c r="O149" s="24"/>
      <c r="P149" s="28" t="str">
        <f t="shared" ca="1" si="4"/>
        <v/>
      </c>
      <c r="Q149" s="19"/>
    </row>
    <row r="150" spans="1:17" x14ac:dyDescent="0.3">
      <c r="A150" s="17" t="s">
        <v>1099</v>
      </c>
      <c r="B150" s="19"/>
      <c r="C150" s="18" t="str">
        <f>IF(B150="","",IFERROR(INDEX('Test Cases'!$C$5:$C$300,MATCH(B150,'Test Cases'!$A$5:$A$300,0)),""))</f>
        <v/>
      </c>
      <c r="D150" s="18" t="str">
        <f>IF(B150="","",IFERROR(INDEX('Test Cases'!$D$5:$D$300,MATCH(B150,'Test Cases'!$A$5:$A$300,0)),""))</f>
        <v/>
      </c>
      <c r="E150" s="19"/>
      <c r="F150" s="19"/>
      <c r="G150" s="19"/>
      <c r="H150" s="19"/>
      <c r="I150" s="19"/>
      <c r="J150" s="19"/>
      <c r="K150" s="19"/>
      <c r="L150" s="19"/>
      <c r="M150" s="19"/>
      <c r="N150" s="24"/>
      <c r="O150" s="24"/>
      <c r="P150" s="28" t="str">
        <f t="shared" ca="1" si="4"/>
        <v/>
      </c>
      <c r="Q150" s="19"/>
    </row>
    <row r="151" spans="1:17" x14ac:dyDescent="0.3">
      <c r="A151" s="17" t="s">
        <v>1100</v>
      </c>
      <c r="B151" s="19"/>
      <c r="C151" s="18" t="str">
        <f>IF(B151="","",IFERROR(INDEX('Test Cases'!$C$5:$C$300,MATCH(B151,'Test Cases'!$A$5:$A$300,0)),""))</f>
        <v/>
      </c>
      <c r="D151" s="18" t="str">
        <f>IF(B151="","",IFERROR(INDEX('Test Cases'!$D$5:$D$300,MATCH(B151,'Test Cases'!$A$5:$A$300,0)),""))</f>
        <v/>
      </c>
      <c r="E151" s="19"/>
      <c r="F151" s="19"/>
      <c r="G151" s="19"/>
      <c r="H151" s="19"/>
      <c r="I151" s="19"/>
      <c r="J151" s="19"/>
      <c r="K151" s="19"/>
      <c r="L151" s="19"/>
      <c r="M151" s="19"/>
      <c r="N151" s="24"/>
      <c r="O151" s="24"/>
      <c r="P151" s="28" t="str">
        <f t="shared" ca="1" si="4"/>
        <v/>
      </c>
      <c r="Q151" s="19"/>
    </row>
    <row r="152" spans="1:17" x14ac:dyDescent="0.3">
      <c r="A152" s="17" t="s">
        <v>1101</v>
      </c>
      <c r="B152" s="19"/>
      <c r="C152" s="18" t="str">
        <f>IF(B152="","",IFERROR(INDEX('Test Cases'!$C$5:$C$300,MATCH(B152,'Test Cases'!$A$5:$A$300,0)),""))</f>
        <v/>
      </c>
      <c r="D152" s="18" t="str">
        <f>IF(B152="","",IFERROR(INDEX('Test Cases'!$D$5:$D$300,MATCH(B152,'Test Cases'!$A$5:$A$300,0)),""))</f>
        <v/>
      </c>
      <c r="E152" s="19"/>
      <c r="F152" s="19"/>
      <c r="G152" s="19"/>
      <c r="H152" s="19"/>
      <c r="I152" s="19"/>
      <c r="J152" s="19"/>
      <c r="K152" s="19"/>
      <c r="L152" s="19"/>
      <c r="M152" s="19"/>
      <c r="N152" s="24"/>
      <c r="O152" s="24"/>
      <c r="P152" s="28" t="str">
        <f t="shared" ca="1" si="4"/>
        <v/>
      </c>
      <c r="Q152" s="19"/>
    </row>
    <row r="153" spans="1:17" x14ac:dyDescent="0.3">
      <c r="A153" s="17" t="s">
        <v>1102</v>
      </c>
      <c r="B153" s="19"/>
      <c r="C153" s="18" t="str">
        <f>IF(B153="","",IFERROR(INDEX('Test Cases'!$C$5:$C$300,MATCH(B153,'Test Cases'!$A$5:$A$300,0)),""))</f>
        <v/>
      </c>
      <c r="D153" s="18" t="str">
        <f>IF(B153="","",IFERROR(INDEX('Test Cases'!$D$5:$D$300,MATCH(B153,'Test Cases'!$A$5:$A$300,0)),""))</f>
        <v/>
      </c>
      <c r="E153" s="19"/>
      <c r="F153" s="19"/>
      <c r="G153" s="19"/>
      <c r="H153" s="19"/>
      <c r="I153" s="19"/>
      <c r="J153" s="19"/>
      <c r="K153" s="19"/>
      <c r="L153" s="19"/>
      <c r="M153" s="19"/>
      <c r="N153" s="24"/>
      <c r="O153" s="24"/>
      <c r="P153" s="28" t="str">
        <f t="shared" ca="1" si="4"/>
        <v/>
      </c>
      <c r="Q153" s="19"/>
    </row>
    <row r="154" spans="1:17" x14ac:dyDescent="0.3">
      <c r="A154" s="17" t="s">
        <v>1103</v>
      </c>
      <c r="B154" s="19"/>
      <c r="C154" s="18" t="str">
        <f>IF(B154="","",IFERROR(INDEX('Test Cases'!$C$5:$C$300,MATCH(B154,'Test Cases'!$A$5:$A$300,0)),""))</f>
        <v/>
      </c>
      <c r="D154" s="18" t="str">
        <f>IF(B154="","",IFERROR(INDEX('Test Cases'!$D$5:$D$300,MATCH(B154,'Test Cases'!$A$5:$A$300,0)),""))</f>
        <v/>
      </c>
      <c r="E154" s="19"/>
      <c r="F154" s="19"/>
      <c r="G154" s="19"/>
      <c r="H154" s="19"/>
      <c r="I154" s="19"/>
      <c r="J154" s="19"/>
      <c r="K154" s="19"/>
      <c r="L154" s="19"/>
      <c r="M154" s="19"/>
      <c r="N154" s="24"/>
      <c r="O154" s="24"/>
      <c r="P154" s="28" t="str">
        <f t="shared" ca="1" si="4"/>
        <v/>
      </c>
      <c r="Q154" s="19"/>
    </row>
  </sheetData>
  <autoFilter ref="A4:Q154" xr:uid="{00000000-0009-0000-0000-00000A000000}"/>
  <conditionalFormatting sqref="I5:I154">
    <cfRule type="cellIs" dxfId="0" priority="2" operator="equal">
      <formula>"Critical"</formula>
    </cfRule>
  </conditionalFormatting>
  <dataValidations count="3">
    <dataValidation type="list" allowBlank="1" showErrorMessage="1" sqref="I5:I154" xr:uid="{00000000-0002-0000-0A00-000001000000}">
      <formula1>"Critical,High,Medium,Low"</formula1>
      <formula2>0</formula2>
    </dataValidation>
    <dataValidation type="list" allowBlank="1" showErrorMessage="1" sqref="J5:J154" xr:uid="{00000000-0002-0000-0A00-000002000000}">
      <formula1>"High,Medium,Low"</formula1>
      <formula2>0</formula2>
    </dataValidation>
    <dataValidation type="list" allowBlank="1" showErrorMessage="1" sqref="K5:K154" xr:uid="{00000000-0002-0000-0A00-000003000000}">
      <formula1>"New,Open,Fixed,Verified,Closed,Rejected,Deferred"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xr:uid="{00000000-0002-0000-0A00-000000000000}">
          <x14:formula1>
            <xm:f>'Test Cases'!$A$5:$A$200</xm:f>
          </x14:formula1>
          <x14:formula2>
            <xm:f>0</xm:f>
          </x14:formula2>
          <xm:sqref>B5:B154</xm:sqref>
        </x14:dataValidation>
        <x14:dataValidation type="list" errorStyle="warning" allowBlank="1" xr:uid="{00000000-0002-0000-0A00-000004000000}">
          <x14:formula1>
            <xm:f>'Cấu hình'!$B$7:$B$16</xm:f>
          </x14:formula1>
          <x14:formula2>
            <xm:f>0</xm:f>
          </x14:formula2>
          <xm:sqref>L5:M154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M204"/>
  <sheetViews>
    <sheetView zoomScaleNormal="100" workbookViewId="0">
      <pane ySplit="4" topLeftCell="A29" activePane="bottomLeft" state="frozen"/>
      <selection pane="bottomLeft" activeCell="J6" sqref="J6"/>
    </sheetView>
  </sheetViews>
  <sheetFormatPr defaultColWidth="8.6640625" defaultRowHeight="14.4" x14ac:dyDescent="0.3"/>
  <cols>
    <col min="1" max="1" width="12" customWidth="1"/>
    <col min="2" max="2" width="10" customWidth="1"/>
    <col min="3" max="3" width="22" customWidth="1"/>
    <col min="4" max="4" width="26" customWidth="1"/>
    <col min="5" max="5" width="50" customWidth="1"/>
    <col min="6" max="6" width="36" customWidth="1"/>
    <col min="7" max="7" width="8" customWidth="1"/>
    <col min="8" max="8" width="12" customWidth="1"/>
    <col min="10" max="10" width="24" customWidth="1"/>
    <col min="11" max="11" width="10" customWidth="1"/>
    <col min="12" max="12" width="11" customWidth="1"/>
    <col min="13" max="13" width="14" customWidth="1"/>
  </cols>
  <sheetData>
    <row r="1" spans="1:13" ht="17.399999999999999" x14ac:dyDescent="0.3">
      <c r="A1" s="3" t="s">
        <v>1104</v>
      </c>
    </row>
    <row r="2" spans="1:13" x14ac:dyDescent="0.3">
      <c r="A2" s="4" t="s">
        <v>1105</v>
      </c>
    </row>
    <row r="4" spans="1:13" ht="33.75" customHeight="1" x14ac:dyDescent="0.3">
      <c r="A4" s="16" t="s">
        <v>1106</v>
      </c>
      <c r="B4" s="16" t="s">
        <v>1107</v>
      </c>
      <c r="C4" s="16" t="s">
        <v>1108</v>
      </c>
      <c r="D4" s="16" t="s">
        <v>1109</v>
      </c>
      <c r="E4" s="16" t="s">
        <v>1110</v>
      </c>
      <c r="F4" s="16" t="s">
        <v>1111</v>
      </c>
      <c r="G4" s="16" t="s">
        <v>1112</v>
      </c>
      <c r="H4" s="16" t="s">
        <v>1113</v>
      </c>
      <c r="J4" s="12" t="s">
        <v>1114</v>
      </c>
      <c r="K4" s="12" t="s">
        <v>1115</v>
      </c>
      <c r="L4" s="12" t="s">
        <v>1116</v>
      </c>
      <c r="M4" s="12" t="s">
        <v>1117</v>
      </c>
    </row>
    <row r="5" spans="1:13" x14ac:dyDescent="0.3">
      <c r="A5" s="24"/>
      <c r="B5" s="18" t="e">
        <f>IF(OR(A5="",'Cấu hình'!#REF!=""),"",INT((A5-'Cấu hình'!#REF!)/7)+1)</f>
        <v>#REF!</v>
      </c>
      <c r="C5" s="19"/>
      <c r="D5" s="18" t="str">
        <f>IF(C5="","",IFERROR(INDEX('Cấu hình'!$C$7:$C$16,MATCH(C5,'Cấu hình'!$B$7:$B$16,0)),""))</f>
        <v/>
      </c>
      <c r="E5" s="19"/>
      <c r="F5" s="19"/>
      <c r="G5" s="19"/>
      <c r="H5" s="19"/>
      <c r="J5" s="18" t="str">
        <f>IF('Cấu hình'!B7="","",'Cấu hình'!B7)</f>
        <v>Thái Hoàng Minh</v>
      </c>
      <c r="K5" s="18">
        <f t="shared" ref="K5:K14" si="0">IF(J5="","",SUMIF($C$5:$C$204,J5,$G$5:$G$204))</f>
        <v>0</v>
      </c>
      <c r="L5" s="18">
        <f t="shared" ref="L5:L14" si="1">IF(J5="","",COUNTIF($C$5:$C$204,J5))</f>
        <v>0</v>
      </c>
      <c r="M5" s="18">
        <f t="shared" ref="M5:M14" si="2">IF(J5="","",COUNTIFS($C$5:$C$204,J5,$H$5:$H$204,"✓"))</f>
        <v>0</v>
      </c>
    </row>
    <row r="6" spans="1:13" x14ac:dyDescent="0.3">
      <c r="A6" s="24"/>
      <c r="B6" s="18" t="e">
        <f>IF(OR(A6="",'Cấu hình'!#REF!=""),"",INT((A6-'Cấu hình'!#REF!)/7)+1)</f>
        <v>#REF!</v>
      </c>
      <c r="C6" s="19"/>
      <c r="D6" s="18" t="str">
        <f>IF(C6="","",IFERROR(INDEX('Cấu hình'!$C$7:$C$16,MATCH(C6,'Cấu hình'!$B$7:$B$16,0)),""))</f>
        <v/>
      </c>
      <c r="E6" s="19"/>
      <c r="F6" s="19"/>
      <c r="G6" s="19"/>
      <c r="H6" s="19"/>
      <c r="J6" s="18" t="str">
        <f>IF('Cấu hình'!B8="","",'Cấu hình'!B8)</f>
        <v>Lâm Hoài An</v>
      </c>
      <c r="K6" s="18">
        <f t="shared" si="0"/>
        <v>0</v>
      </c>
      <c r="L6" s="18">
        <f t="shared" si="1"/>
        <v>0</v>
      </c>
      <c r="M6" s="18">
        <f t="shared" si="2"/>
        <v>0</v>
      </c>
    </row>
    <row r="7" spans="1:13" x14ac:dyDescent="0.3">
      <c r="A7" s="24"/>
      <c r="B7" s="18" t="e">
        <f>IF(OR(A7="",'Cấu hình'!#REF!=""),"",INT((A7-'Cấu hình'!#REF!)/7)+1)</f>
        <v>#REF!</v>
      </c>
      <c r="C7" s="19"/>
      <c r="D7" s="18" t="str">
        <f>IF(C7="","",IFERROR(INDEX('Cấu hình'!$C$7:$C$16,MATCH(C7,'Cấu hình'!$B$7:$B$16,0)),""))</f>
        <v/>
      </c>
      <c r="E7" s="19"/>
      <c r="F7" s="19"/>
      <c r="G7" s="19"/>
      <c r="H7" s="19"/>
      <c r="J7" s="18" t="str">
        <f>IF('Cấu hình'!B9="","",'Cấu hình'!B9)</f>
        <v>Nguyễn Phúc Khang</v>
      </c>
      <c r="K7" s="18">
        <f t="shared" si="0"/>
        <v>0</v>
      </c>
      <c r="L7" s="18">
        <f t="shared" si="1"/>
        <v>0</v>
      </c>
      <c r="M7" s="18">
        <f t="shared" si="2"/>
        <v>0</v>
      </c>
    </row>
    <row r="8" spans="1:13" x14ac:dyDescent="0.3">
      <c r="A8" s="24"/>
      <c r="B8" s="18" t="e">
        <f>IF(OR(A8="",'Cấu hình'!#REF!=""),"",INT((A8-'Cấu hình'!#REF!)/7)+1)</f>
        <v>#REF!</v>
      </c>
      <c r="C8" s="19"/>
      <c r="D8" s="18" t="str">
        <f>IF(C8="","",IFERROR(INDEX('Cấu hình'!$C$7:$C$16,MATCH(C8,'Cấu hình'!$B$7:$B$16,0)),""))</f>
        <v/>
      </c>
      <c r="E8" s="19"/>
      <c r="F8" s="19"/>
      <c r="G8" s="19"/>
      <c r="H8" s="19"/>
      <c r="J8" s="18" t="str">
        <f>IF('Cấu hình'!B10="","",'Cấu hình'!B10)</f>
        <v>Võ Trường Hải</v>
      </c>
      <c r="K8" s="18">
        <f t="shared" si="0"/>
        <v>0</v>
      </c>
      <c r="L8" s="18">
        <f t="shared" si="1"/>
        <v>0</v>
      </c>
      <c r="M8" s="18">
        <f t="shared" si="2"/>
        <v>0</v>
      </c>
    </row>
    <row r="9" spans="1:13" x14ac:dyDescent="0.3">
      <c r="A9" s="24"/>
      <c r="B9" s="18" t="e">
        <f>IF(OR(A9="",'Cấu hình'!#REF!=""),"",INT((A9-'Cấu hình'!#REF!)/7)+1)</f>
        <v>#REF!</v>
      </c>
      <c r="C9" s="19"/>
      <c r="D9" s="18" t="str">
        <f>IF(C9="","",IFERROR(INDEX('Cấu hình'!$C$7:$C$16,MATCH(C9,'Cấu hình'!$B$7:$B$16,0)),""))</f>
        <v/>
      </c>
      <c r="E9" s="19"/>
      <c r="F9" s="19"/>
      <c r="G9" s="19"/>
      <c r="H9" s="19"/>
      <c r="J9" s="18" t="str">
        <f>IF('Cấu hình'!B11="","",'Cấu hình'!B11)</f>
        <v>Châu Minh Tuệ</v>
      </c>
      <c r="K9" s="18">
        <f t="shared" si="0"/>
        <v>0</v>
      </c>
      <c r="L9" s="18">
        <f t="shared" si="1"/>
        <v>0</v>
      </c>
      <c r="M9" s="18">
        <f t="shared" si="2"/>
        <v>0</v>
      </c>
    </row>
    <row r="10" spans="1:13" x14ac:dyDescent="0.3">
      <c r="A10" s="24"/>
      <c r="B10" s="18" t="e">
        <f>IF(OR(A10="",'Cấu hình'!#REF!=""),"",INT((A10-'Cấu hình'!#REF!)/7)+1)</f>
        <v>#REF!</v>
      </c>
      <c r="C10" s="19"/>
      <c r="D10" s="18" t="str">
        <f>IF(C10="","",IFERROR(INDEX('Cấu hình'!$C$7:$C$16,MATCH(C10,'Cấu hình'!$B$7:$B$16,0)),""))</f>
        <v/>
      </c>
      <c r="E10" s="19"/>
      <c r="F10" s="19"/>
      <c r="G10" s="19"/>
      <c r="H10" s="19"/>
      <c r="J10" s="18" t="str">
        <f>IF('Cấu hình'!B12="","",'Cấu hình'!B12)</f>
        <v/>
      </c>
      <c r="K10" s="18" t="str">
        <f t="shared" si="0"/>
        <v/>
      </c>
      <c r="L10" s="18" t="str">
        <f t="shared" si="1"/>
        <v/>
      </c>
      <c r="M10" s="18" t="str">
        <f t="shared" si="2"/>
        <v/>
      </c>
    </row>
    <row r="11" spans="1:13" x14ac:dyDescent="0.3">
      <c r="A11" s="24"/>
      <c r="B11" s="18" t="e">
        <f>IF(OR(A11="",'Cấu hình'!#REF!=""),"",INT((A11-'Cấu hình'!#REF!)/7)+1)</f>
        <v>#REF!</v>
      </c>
      <c r="C11" s="19"/>
      <c r="D11" s="18" t="str">
        <f>IF(C11="","",IFERROR(INDEX('Cấu hình'!$C$7:$C$16,MATCH(C11,'Cấu hình'!$B$7:$B$16,0)),""))</f>
        <v/>
      </c>
      <c r="E11" s="19"/>
      <c r="F11" s="19"/>
      <c r="G11" s="19"/>
      <c r="H11" s="19"/>
      <c r="J11" s="18" t="str">
        <f>IF('Cấu hình'!B13="","",'Cấu hình'!B13)</f>
        <v/>
      </c>
      <c r="K11" s="18" t="str">
        <f t="shared" si="0"/>
        <v/>
      </c>
      <c r="L11" s="18" t="str">
        <f t="shared" si="1"/>
        <v/>
      </c>
      <c r="M11" s="18" t="str">
        <f t="shared" si="2"/>
        <v/>
      </c>
    </row>
    <row r="12" spans="1:13" x14ac:dyDescent="0.3">
      <c r="A12" s="24"/>
      <c r="B12" s="18" t="e">
        <f>IF(OR(A12="",'Cấu hình'!#REF!=""),"",INT((A12-'Cấu hình'!#REF!)/7)+1)</f>
        <v>#REF!</v>
      </c>
      <c r="C12" s="19"/>
      <c r="D12" s="18" t="str">
        <f>IF(C12="","",IFERROR(INDEX('Cấu hình'!$C$7:$C$16,MATCH(C12,'Cấu hình'!$B$7:$B$16,0)),""))</f>
        <v/>
      </c>
      <c r="E12" s="19"/>
      <c r="F12" s="19"/>
      <c r="G12" s="19"/>
      <c r="H12" s="19"/>
      <c r="J12" s="18" t="str">
        <f>IF('Cấu hình'!B14="","",'Cấu hình'!B14)</f>
        <v/>
      </c>
      <c r="K12" s="18" t="str">
        <f t="shared" si="0"/>
        <v/>
      </c>
      <c r="L12" s="18" t="str">
        <f t="shared" si="1"/>
        <v/>
      </c>
      <c r="M12" s="18" t="str">
        <f t="shared" si="2"/>
        <v/>
      </c>
    </row>
    <row r="13" spans="1:13" x14ac:dyDescent="0.3">
      <c r="A13" s="24"/>
      <c r="B13" s="18" t="e">
        <f>IF(OR(A13="",'Cấu hình'!#REF!=""),"",INT((A13-'Cấu hình'!#REF!)/7)+1)</f>
        <v>#REF!</v>
      </c>
      <c r="C13" s="19"/>
      <c r="D13" s="18" t="str">
        <f>IF(C13="","",IFERROR(INDEX('Cấu hình'!$C$7:$C$16,MATCH(C13,'Cấu hình'!$B$7:$B$16,0)),""))</f>
        <v/>
      </c>
      <c r="E13" s="19"/>
      <c r="F13" s="19"/>
      <c r="G13" s="19"/>
      <c r="H13" s="19"/>
      <c r="J13" s="18" t="str">
        <f>IF('Cấu hình'!B15="","",'Cấu hình'!B15)</f>
        <v/>
      </c>
      <c r="K13" s="18" t="str">
        <f t="shared" si="0"/>
        <v/>
      </c>
      <c r="L13" s="18" t="str">
        <f t="shared" si="1"/>
        <v/>
      </c>
      <c r="M13" s="18" t="str">
        <f t="shared" si="2"/>
        <v/>
      </c>
    </row>
    <row r="14" spans="1:13" x14ac:dyDescent="0.3">
      <c r="A14" s="24"/>
      <c r="B14" s="18" t="e">
        <f>IF(OR(A14="",'Cấu hình'!#REF!=""),"",INT((A14-'Cấu hình'!#REF!)/7)+1)</f>
        <v>#REF!</v>
      </c>
      <c r="C14" s="19"/>
      <c r="D14" s="18" t="str">
        <f>IF(C14="","",IFERROR(INDEX('Cấu hình'!$C$7:$C$16,MATCH(C14,'Cấu hình'!$B$7:$B$16,0)),""))</f>
        <v/>
      </c>
      <c r="E14" s="19"/>
      <c r="F14" s="19"/>
      <c r="G14" s="19"/>
      <c r="H14" s="19"/>
      <c r="J14" s="18" t="str">
        <f>IF('Cấu hình'!B16="","",'Cấu hình'!B16)</f>
        <v/>
      </c>
      <c r="K14" s="18" t="str">
        <f t="shared" si="0"/>
        <v/>
      </c>
      <c r="L14" s="18" t="str">
        <f t="shared" si="1"/>
        <v/>
      </c>
      <c r="M14" s="18" t="str">
        <f t="shared" si="2"/>
        <v/>
      </c>
    </row>
    <row r="15" spans="1:13" x14ac:dyDescent="0.3">
      <c r="A15" s="24"/>
      <c r="B15" s="18" t="e">
        <f>IF(OR(A15="",'Cấu hình'!#REF!=""),"",INT((A15-'Cấu hình'!#REF!)/7)+1)</f>
        <v>#REF!</v>
      </c>
      <c r="C15" s="19"/>
      <c r="D15" s="18" t="str">
        <f>IF(C15="","",IFERROR(INDEX('Cấu hình'!$C$7:$C$16,MATCH(C15,'Cấu hình'!$B$7:$B$16,0)),""))</f>
        <v/>
      </c>
      <c r="E15" s="19"/>
      <c r="F15" s="19"/>
      <c r="G15" s="19"/>
      <c r="H15" s="19"/>
    </row>
    <row r="16" spans="1:13" x14ac:dyDescent="0.3">
      <c r="A16" s="24"/>
      <c r="B16" s="18" t="e">
        <f>IF(OR(A16="",'Cấu hình'!#REF!=""),"",INT((A16-'Cấu hình'!#REF!)/7)+1)</f>
        <v>#REF!</v>
      </c>
      <c r="C16" s="19"/>
      <c r="D16" s="18" t="str">
        <f>IF(C16="","",IFERROR(INDEX('Cấu hình'!$C$7:$C$16,MATCH(C16,'Cấu hình'!$B$7:$B$16,0)),""))</f>
        <v/>
      </c>
      <c r="E16" s="19"/>
      <c r="F16" s="19"/>
      <c r="G16" s="19"/>
      <c r="H16" s="19"/>
    </row>
    <row r="17" spans="1:8" x14ac:dyDescent="0.3">
      <c r="A17" s="24"/>
      <c r="B17" s="18" t="e">
        <f>IF(OR(A17="",'Cấu hình'!#REF!=""),"",INT((A17-'Cấu hình'!#REF!)/7)+1)</f>
        <v>#REF!</v>
      </c>
      <c r="C17" s="19"/>
      <c r="D17" s="18" t="str">
        <f>IF(C17="","",IFERROR(INDEX('Cấu hình'!$C$7:$C$16,MATCH(C17,'Cấu hình'!$B$7:$B$16,0)),""))</f>
        <v/>
      </c>
      <c r="E17" s="19"/>
      <c r="F17" s="19"/>
      <c r="G17" s="19"/>
      <c r="H17" s="19"/>
    </row>
    <row r="18" spans="1:8" x14ac:dyDescent="0.3">
      <c r="A18" s="24"/>
      <c r="B18" s="18" t="e">
        <f>IF(OR(A18="",'Cấu hình'!#REF!=""),"",INT((A18-'Cấu hình'!#REF!)/7)+1)</f>
        <v>#REF!</v>
      </c>
      <c r="C18" s="19"/>
      <c r="D18" s="18" t="str">
        <f>IF(C18="","",IFERROR(INDEX('Cấu hình'!$C$7:$C$16,MATCH(C18,'Cấu hình'!$B$7:$B$16,0)),""))</f>
        <v/>
      </c>
      <c r="E18" s="19"/>
      <c r="F18" s="19"/>
      <c r="G18" s="19"/>
      <c r="H18" s="19"/>
    </row>
    <row r="19" spans="1:8" x14ac:dyDescent="0.3">
      <c r="A19" s="24"/>
      <c r="B19" s="18" t="e">
        <f>IF(OR(A19="",'Cấu hình'!#REF!=""),"",INT((A19-'Cấu hình'!#REF!)/7)+1)</f>
        <v>#REF!</v>
      </c>
      <c r="C19" s="19"/>
      <c r="D19" s="18" t="str">
        <f>IF(C19="","",IFERROR(INDEX('Cấu hình'!$C$7:$C$16,MATCH(C19,'Cấu hình'!$B$7:$B$16,0)),""))</f>
        <v/>
      </c>
      <c r="E19" s="19"/>
      <c r="F19" s="19"/>
      <c r="G19" s="19"/>
      <c r="H19" s="19"/>
    </row>
    <row r="20" spans="1:8" x14ac:dyDescent="0.3">
      <c r="A20" s="24"/>
      <c r="B20" s="18" t="e">
        <f>IF(OR(A20="",'Cấu hình'!#REF!=""),"",INT((A20-'Cấu hình'!#REF!)/7)+1)</f>
        <v>#REF!</v>
      </c>
      <c r="C20" s="19"/>
      <c r="D20" s="18" t="str">
        <f>IF(C20="","",IFERROR(INDEX('Cấu hình'!$C$7:$C$16,MATCH(C20,'Cấu hình'!$B$7:$B$16,0)),""))</f>
        <v/>
      </c>
      <c r="E20" s="19"/>
      <c r="F20" s="19"/>
      <c r="G20" s="19"/>
      <c r="H20" s="19"/>
    </row>
    <row r="21" spans="1:8" x14ac:dyDescent="0.3">
      <c r="A21" s="24"/>
      <c r="B21" s="18" t="e">
        <f>IF(OR(A21="",'Cấu hình'!#REF!=""),"",INT((A21-'Cấu hình'!#REF!)/7)+1)</f>
        <v>#REF!</v>
      </c>
      <c r="C21" s="19"/>
      <c r="D21" s="18" t="str">
        <f>IF(C21="","",IFERROR(INDEX('Cấu hình'!$C$7:$C$16,MATCH(C21,'Cấu hình'!$B$7:$B$16,0)),""))</f>
        <v/>
      </c>
      <c r="E21" s="19"/>
      <c r="F21" s="19"/>
      <c r="G21" s="19"/>
      <c r="H21" s="19"/>
    </row>
    <row r="22" spans="1:8" x14ac:dyDescent="0.3">
      <c r="A22" s="24"/>
      <c r="B22" s="18" t="e">
        <f>IF(OR(A22="",'Cấu hình'!#REF!=""),"",INT((A22-'Cấu hình'!#REF!)/7)+1)</f>
        <v>#REF!</v>
      </c>
      <c r="C22" s="19"/>
      <c r="D22" s="18" t="str">
        <f>IF(C22="","",IFERROR(INDEX('Cấu hình'!$C$7:$C$16,MATCH(C22,'Cấu hình'!$B$7:$B$16,0)),""))</f>
        <v/>
      </c>
      <c r="E22" s="19"/>
      <c r="F22" s="19"/>
      <c r="G22" s="19"/>
      <c r="H22" s="19"/>
    </row>
    <row r="23" spans="1:8" x14ac:dyDescent="0.3">
      <c r="A23" s="24"/>
      <c r="B23" s="18" t="e">
        <f>IF(OR(A23="",'Cấu hình'!#REF!=""),"",INT((A23-'Cấu hình'!#REF!)/7)+1)</f>
        <v>#REF!</v>
      </c>
      <c r="C23" s="19"/>
      <c r="D23" s="18" t="str">
        <f>IF(C23="","",IFERROR(INDEX('Cấu hình'!$C$7:$C$16,MATCH(C23,'Cấu hình'!$B$7:$B$16,0)),""))</f>
        <v/>
      </c>
      <c r="E23" s="19"/>
      <c r="F23" s="19"/>
      <c r="G23" s="19"/>
      <c r="H23" s="19"/>
    </row>
    <row r="24" spans="1:8" x14ac:dyDescent="0.3">
      <c r="A24" s="24"/>
      <c r="B24" s="18" t="e">
        <f>IF(OR(A24="",'Cấu hình'!#REF!=""),"",INT((A24-'Cấu hình'!#REF!)/7)+1)</f>
        <v>#REF!</v>
      </c>
      <c r="C24" s="19"/>
      <c r="D24" s="18" t="str">
        <f>IF(C24="","",IFERROR(INDEX('Cấu hình'!$C$7:$C$16,MATCH(C24,'Cấu hình'!$B$7:$B$16,0)),""))</f>
        <v/>
      </c>
      <c r="E24" s="19"/>
      <c r="F24" s="19"/>
      <c r="G24" s="19"/>
      <c r="H24" s="19"/>
    </row>
    <row r="25" spans="1:8" x14ac:dyDescent="0.3">
      <c r="A25" s="24"/>
      <c r="B25" s="18" t="e">
        <f>IF(OR(A25="",'Cấu hình'!#REF!=""),"",INT((A25-'Cấu hình'!#REF!)/7)+1)</f>
        <v>#REF!</v>
      </c>
      <c r="C25" s="19"/>
      <c r="D25" s="18" t="str">
        <f>IF(C25="","",IFERROR(INDEX('Cấu hình'!$C$7:$C$16,MATCH(C25,'Cấu hình'!$B$7:$B$16,0)),""))</f>
        <v/>
      </c>
      <c r="E25" s="19"/>
      <c r="F25" s="19"/>
      <c r="G25" s="19"/>
      <c r="H25" s="19"/>
    </row>
    <row r="26" spans="1:8" x14ac:dyDescent="0.3">
      <c r="A26" s="24"/>
      <c r="B26" s="18" t="e">
        <f>IF(OR(A26="",'Cấu hình'!#REF!=""),"",INT((A26-'Cấu hình'!#REF!)/7)+1)</f>
        <v>#REF!</v>
      </c>
      <c r="C26" s="19"/>
      <c r="D26" s="18" t="str">
        <f>IF(C26="","",IFERROR(INDEX('Cấu hình'!$C$7:$C$16,MATCH(C26,'Cấu hình'!$B$7:$B$16,0)),""))</f>
        <v/>
      </c>
      <c r="E26" s="19"/>
      <c r="F26" s="19"/>
      <c r="G26" s="19"/>
      <c r="H26" s="19"/>
    </row>
    <row r="27" spans="1:8" x14ac:dyDescent="0.3">
      <c r="A27" s="24"/>
      <c r="B27" s="18" t="e">
        <f>IF(OR(A27="",'Cấu hình'!#REF!=""),"",INT((A27-'Cấu hình'!#REF!)/7)+1)</f>
        <v>#REF!</v>
      </c>
      <c r="C27" s="19"/>
      <c r="D27" s="18" t="str">
        <f>IF(C27="","",IFERROR(INDEX('Cấu hình'!$C$7:$C$16,MATCH(C27,'Cấu hình'!$B$7:$B$16,0)),""))</f>
        <v/>
      </c>
      <c r="E27" s="19"/>
      <c r="F27" s="19"/>
      <c r="G27" s="19"/>
      <c r="H27" s="19"/>
    </row>
    <row r="28" spans="1:8" x14ac:dyDescent="0.3">
      <c r="A28" s="24"/>
      <c r="B28" s="18" t="e">
        <f>IF(OR(A28="",'Cấu hình'!#REF!=""),"",INT((A28-'Cấu hình'!#REF!)/7)+1)</f>
        <v>#REF!</v>
      </c>
      <c r="C28" s="19"/>
      <c r="D28" s="18" t="str">
        <f>IF(C28="","",IFERROR(INDEX('Cấu hình'!$C$7:$C$16,MATCH(C28,'Cấu hình'!$B$7:$B$16,0)),""))</f>
        <v/>
      </c>
      <c r="E28" s="19"/>
      <c r="F28" s="19"/>
      <c r="G28" s="19"/>
      <c r="H28" s="19"/>
    </row>
    <row r="29" spans="1:8" x14ac:dyDescent="0.3">
      <c r="A29" s="24"/>
      <c r="B29" s="18" t="e">
        <f>IF(OR(A29="",'Cấu hình'!#REF!=""),"",INT((A29-'Cấu hình'!#REF!)/7)+1)</f>
        <v>#REF!</v>
      </c>
      <c r="C29" s="19"/>
      <c r="D29" s="18" t="str">
        <f>IF(C29="","",IFERROR(INDEX('Cấu hình'!$C$7:$C$16,MATCH(C29,'Cấu hình'!$B$7:$B$16,0)),""))</f>
        <v/>
      </c>
      <c r="E29" s="19"/>
      <c r="F29" s="19"/>
      <c r="G29" s="19"/>
      <c r="H29" s="19"/>
    </row>
    <row r="30" spans="1:8" x14ac:dyDescent="0.3">
      <c r="A30" s="24"/>
      <c r="B30" s="18" t="e">
        <f>IF(OR(A30="",'Cấu hình'!#REF!=""),"",INT((A30-'Cấu hình'!#REF!)/7)+1)</f>
        <v>#REF!</v>
      </c>
      <c r="C30" s="19"/>
      <c r="D30" s="18" t="str">
        <f>IF(C30="","",IFERROR(INDEX('Cấu hình'!$C$7:$C$16,MATCH(C30,'Cấu hình'!$B$7:$B$16,0)),""))</f>
        <v/>
      </c>
      <c r="E30" s="19"/>
      <c r="F30" s="19"/>
      <c r="G30" s="19"/>
      <c r="H30" s="19"/>
    </row>
    <row r="31" spans="1:8" x14ac:dyDescent="0.3">
      <c r="A31" s="24"/>
      <c r="B31" s="18" t="e">
        <f>IF(OR(A31="",'Cấu hình'!#REF!=""),"",INT((A31-'Cấu hình'!#REF!)/7)+1)</f>
        <v>#REF!</v>
      </c>
      <c r="C31" s="19"/>
      <c r="D31" s="18" t="str">
        <f>IF(C31="","",IFERROR(INDEX('Cấu hình'!$C$7:$C$16,MATCH(C31,'Cấu hình'!$B$7:$B$16,0)),""))</f>
        <v/>
      </c>
      <c r="E31" s="19"/>
      <c r="F31" s="19"/>
      <c r="G31" s="19"/>
      <c r="H31" s="19"/>
    </row>
    <row r="32" spans="1:8" x14ac:dyDescent="0.3">
      <c r="A32" s="24"/>
      <c r="B32" s="18" t="e">
        <f>IF(OR(A32="",'Cấu hình'!#REF!=""),"",INT((A32-'Cấu hình'!#REF!)/7)+1)</f>
        <v>#REF!</v>
      </c>
      <c r="C32" s="19"/>
      <c r="D32" s="18" t="str">
        <f>IF(C32="","",IFERROR(INDEX('Cấu hình'!$C$7:$C$16,MATCH(C32,'Cấu hình'!$B$7:$B$16,0)),""))</f>
        <v/>
      </c>
      <c r="E32" s="19"/>
      <c r="F32" s="19"/>
      <c r="G32" s="19"/>
      <c r="H32" s="19"/>
    </row>
    <row r="33" spans="1:8" x14ac:dyDescent="0.3">
      <c r="A33" s="24"/>
      <c r="B33" s="18" t="e">
        <f>IF(OR(A33="",'Cấu hình'!#REF!=""),"",INT((A33-'Cấu hình'!#REF!)/7)+1)</f>
        <v>#REF!</v>
      </c>
      <c r="C33" s="19"/>
      <c r="D33" s="18" t="str">
        <f>IF(C33="","",IFERROR(INDEX('Cấu hình'!$C$7:$C$16,MATCH(C33,'Cấu hình'!$B$7:$B$16,0)),""))</f>
        <v/>
      </c>
      <c r="E33" s="19"/>
      <c r="F33" s="19"/>
      <c r="G33" s="19"/>
      <c r="H33" s="19"/>
    </row>
    <row r="34" spans="1:8" x14ac:dyDescent="0.3">
      <c r="A34" s="24"/>
      <c r="B34" s="18" t="e">
        <f>IF(OR(A34="",'Cấu hình'!#REF!=""),"",INT((A34-'Cấu hình'!#REF!)/7)+1)</f>
        <v>#REF!</v>
      </c>
      <c r="C34" s="19"/>
      <c r="D34" s="18" t="str">
        <f>IF(C34="","",IFERROR(INDEX('Cấu hình'!$C$7:$C$16,MATCH(C34,'Cấu hình'!$B$7:$B$16,0)),""))</f>
        <v/>
      </c>
      <c r="E34" s="19"/>
      <c r="F34" s="19"/>
      <c r="G34" s="19"/>
      <c r="H34" s="19"/>
    </row>
    <row r="35" spans="1:8" x14ac:dyDescent="0.3">
      <c r="A35" s="24"/>
      <c r="B35" s="18" t="e">
        <f>IF(OR(A35="",'Cấu hình'!#REF!=""),"",INT((A35-'Cấu hình'!#REF!)/7)+1)</f>
        <v>#REF!</v>
      </c>
      <c r="C35" s="19"/>
      <c r="D35" s="18" t="str">
        <f>IF(C35="","",IFERROR(INDEX('Cấu hình'!$C$7:$C$16,MATCH(C35,'Cấu hình'!$B$7:$B$16,0)),""))</f>
        <v/>
      </c>
      <c r="E35" s="19"/>
      <c r="F35" s="19"/>
      <c r="G35" s="19"/>
      <c r="H35" s="19"/>
    </row>
    <row r="36" spans="1:8" x14ac:dyDescent="0.3">
      <c r="A36" s="24"/>
      <c r="B36" s="18" t="e">
        <f>IF(OR(A36="",'Cấu hình'!#REF!=""),"",INT((A36-'Cấu hình'!#REF!)/7)+1)</f>
        <v>#REF!</v>
      </c>
      <c r="C36" s="19"/>
      <c r="D36" s="18" t="str">
        <f>IF(C36="","",IFERROR(INDEX('Cấu hình'!$C$7:$C$16,MATCH(C36,'Cấu hình'!$B$7:$B$16,0)),""))</f>
        <v/>
      </c>
      <c r="E36" s="19"/>
      <c r="F36" s="19"/>
      <c r="G36" s="19"/>
      <c r="H36" s="19"/>
    </row>
    <row r="37" spans="1:8" x14ac:dyDescent="0.3">
      <c r="A37" s="24"/>
      <c r="B37" s="18" t="e">
        <f>IF(OR(A37="",'Cấu hình'!#REF!=""),"",INT((A37-'Cấu hình'!#REF!)/7)+1)</f>
        <v>#REF!</v>
      </c>
      <c r="C37" s="19"/>
      <c r="D37" s="18" t="str">
        <f>IF(C37="","",IFERROR(INDEX('Cấu hình'!$C$7:$C$16,MATCH(C37,'Cấu hình'!$B$7:$B$16,0)),""))</f>
        <v/>
      </c>
      <c r="E37" s="19"/>
      <c r="F37" s="19"/>
      <c r="G37" s="19"/>
      <c r="H37" s="19"/>
    </row>
    <row r="38" spans="1:8" x14ac:dyDescent="0.3">
      <c r="A38" s="24"/>
      <c r="B38" s="18" t="e">
        <f>IF(OR(A38="",'Cấu hình'!#REF!=""),"",INT((A38-'Cấu hình'!#REF!)/7)+1)</f>
        <v>#REF!</v>
      </c>
      <c r="C38" s="19"/>
      <c r="D38" s="18" t="str">
        <f>IF(C38="","",IFERROR(INDEX('Cấu hình'!$C$7:$C$16,MATCH(C38,'Cấu hình'!$B$7:$B$16,0)),""))</f>
        <v/>
      </c>
      <c r="E38" s="19"/>
      <c r="F38" s="19"/>
      <c r="G38" s="19"/>
      <c r="H38" s="19"/>
    </row>
    <row r="39" spans="1:8" x14ac:dyDescent="0.3">
      <c r="A39" s="24"/>
      <c r="B39" s="18" t="e">
        <f>IF(OR(A39="",'Cấu hình'!#REF!=""),"",INT((A39-'Cấu hình'!#REF!)/7)+1)</f>
        <v>#REF!</v>
      </c>
      <c r="C39" s="19"/>
      <c r="D39" s="18" t="str">
        <f>IF(C39="","",IFERROR(INDEX('Cấu hình'!$C$7:$C$16,MATCH(C39,'Cấu hình'!$B$7:$B$16,0)),""))</f>
        <v/>
      </c>
      <c r="E39" s="19"/>
      <c r="F39" s="19"/>
      <c r="G39" s="19"/>
      <c r="H39" s="19"/>
    </row>
    <row r="40" spans="1:8" x14ac:dyDescent="0.3">
      <c r="A40" s="24"/>
      <c r="B40" s="18" t="e">
        <f>IF(OR(A40="",'Cấu hình'!#REF!=""),"",INT((A40-'Cấu hình'!#REF!)/7)+1)</f>
        <v>#REF!</v>
      </c>
      <c r="C40" s="19"/>
      <c r="D40" s="18" t="str">
        <f>IF(C40="","",IFERROR(INDEX('Cấu hình'!$C$7:$C$16,MATCH(C40,'Cấu hình'!$B$7:$B$16,0)),""))</f>
        <v/>
      </c>
      <c r="E40" s="19"/>
      <c r="F40" s="19"/>
      <c r="G40" s="19"/>
      <c r="H40" s="19"/>
    </row>
    <row r="41" spans="1:8" x14ac:dyDescent="0.3">
      <c r="A41" s="24"/>
      <c r="B41" s="18" t="e">
        <f>IF(OR(A41="",'Cấu hình'!#REF!=""),"",INT((A41-'Cấu hình'!#REF!)/7)+1)</f>
        <v>#REF!</v>
      </c>
      <c r="C41" s="19"/>
      <c r="D41" s="18" t="str">
        <f>IF(C41="","",IFERROR(INDEX('Cấu hình'!$C$7:$C$16,MATCH(C41,'Cấu hình'!$B$7:$B$16,0)),""))</f>
        <v/>
      </c>
      <c r="E41" s="19"/>
      <c r="F41" s="19"/>
      <c r="G41" s="19"/>
      <c r="H41" s="19"/>
    </row>
    <row r="42" spans="1:8" x14ac:dyDescent="0.3">
      <c r="A42" s="24"/>
      <c r="B42" s="18" t="e">
        <f>IF(OR(A42="",'Cấu hình'!#REF!=""),"",INT((A42-'Cấu hình'!#REF!)/7)+1)</f>
        <v>#REF!</v>
      </c>
      <c r="C42" s="19"/>
      <c r="D42" s="18" t="str">
        <f>IF(C42="","",IFERROR(INDEX('Cấu hình'!$C$7:$C$16,MATCH(C42,'Cấu hình'!$B$7:$B$16,0)),""))</f>
        <v/>
      </c>
      <c r="E42" s="19"/>
      <c r="F42" s="19"/>
      <c r="G42" s="19"/>
      <c r="H42" s="19"/>
    </row>
    <row r="43" spans="1:8" x14ac:dyDescent="0.3">
      <c r="A43" s="24"/>
      <c r="B43" s="18" t="e">
        <f>IF(OR(A43="",'Cấu hình'!#REF!=""),"",INT((A43-'Cấu hình'!#REF!)/7)+1)</f>
        <v>#REF!</v>
      </c>
      <c r="C43" s="19"/>
      <c r="D43" s="18" t="str">
        <f>IF(C43="","",IFERROR(INDEX('Cấu hình'!$C$7:$C$16,MATCH(C43,'Cấu hình'!$B$7:$B$16,0)),""))</f>
        <v/>
      </c>
      <c r="E43" s="19"/>
      <c r="F43" s="19"/>
      <c r="G43" s="19"/>
      <c r="H43" s="19"/>
    </row>
    <row r="44" spans="1:8" x14ac:dyDescent="0.3">
      <c r="A44" s="24"/>
      <c r="B44" s="18" t="e">
        <f>IF(OR(A44="",'Cấu hình'!#REF!=""),"",INT((A44-'Cấu hình'!#REF!)/7)+1)</f>
        <v>#REF!</v>
      </c>
      <c r="C44" s="19"/>
      <c r="D44" s="18" t="str">
        <f>IF(C44="","",IFERROR(INDEX('Cấu hình'!$C$7:$C$16,MATCH(C44,'Cấu hình'!$B$7:$B$16,0)),""))</f>
        <v/>
      </c>
      <c r="E44" s="19"/>
      <c r="F44" s="19"/>
      <c r="G44" s="19"/>
      <c r="H44" s="19"/>
    </row>
    <row r="45" spans="1:8" x14ac:dyDescent="0.3">
      <c r="A45" s="24"/>
      <c r="B45" s="18" t="e">
        <f>IF(OR(A45="",'Cấu hình'!#REF!=""),"",INT((A45-'Cấu hình'!#REF!)/7)+1)</f>
        <v>#REF!</v>
      </c>
      <c r="C45" s="19"/>
      <c r="D45" s="18" t="str">
        <f>IF(C45="","",IFERROR(INDEX('Cấu hình'!$C$7:$C$16,MATCH(C45,'Cấu hình'!$B$7:$B$16,0)),""))</f>
        <v/>
      </c>
      <c r="E45" s="19"/>
      <c r="F45" s="19"/>
      <c r="G45" s="19"/>
      <c r="H45" s="19"/>
    </row>
    <row r="46" spans="1:8" x14ac:dyDescent="0.3">
      <c r="A46" s="24"/>
      <c r="B46" s="18" t="e">
        <f>IF(OR(A46="",'Cấu hình'!#REF!=""),"",INT((A46-'Cấu hình'!#REF!)/7)+1)</f>
        <v>#REF!</v>
      </c>
      <c r="C46" s="19"/>
      <c r="D46" s="18" t="str">
        <f>IF(C46="","",IFERROR(INDEX('Cấu hình'!$C$7:$C$16,MATCH(C46,'Cấu hình'!$B$7:$B$16,0)),""))</f>
        <v/>
      </c>
      <c r="E46" s="19"/>
      <c r="F46" s="19"/>
      <c r="G46" s="19"/>
      <c r="H46" s="19"/>
    </row>
    <row r="47" spans="1:8" x14ac:dyDescent="0.3">
      <c r="A47" s="24"/>
      <c r="B47" s="18" t="e">
        <f>IF(OR(A47="",'Cấu hình'!#REF!=""),"",INT((A47-'Cấu hình'!#REF!)/7)+1)</f>
        <v>#REF!</v>
      </c>
      <c r="C47" s="19"/>
      <c r="D47" s="18" t="str">
        <f>IF(C47="","",IFERROR(INDEX('Cấu hình'!$C$7:$C$16,MATCH(C47,'Cấu hình'!$B$7:$B$16,0)),""))</f>
        <v/>
      </c>
      <c r="E47" s="19"/>
      <c r="F47" s="19"/>
      <c r="G47" s="19"/>
      <c r="H47" s="19"/>
    </row>
    <row r="48" spans="1:8" x14ac:dyDescent="0.3">
      <c r="A48" s="24"/>
      <c r="B48" s="18" t="e">
        <f>IF(OR(A48="",'Cấu hình'!#REF!=""),"",INT((A48-'Cấu hình'!#REF!)/7)+1)</f>
        <v>#REF!</v>
      </c>
      <c r="C48" s="19"/>
      <c r="D48" s="18" t="str">
        <f>IF(C48="","",IFERROR(INDEX('Cấu hình'!$C$7:$C$16,MATCH(C48,'Cấu hình'!$B$7:$B$16,0)),""))</f>
        <v/>
      </c>
      <c r="E48" s="19"/>
      <c r="F48" s="19"/>
      <c r="G48" s="19"/>
      <c r="H48" s="19"/>
    </row>
    <row r="49" spans="1:8" x14ac:dyDescent="0.3">
      <c r="A49" s="24"/>
      <c r="B49" s="18" t="e">
        <f>IF(OR(A49="",'Cấu hình'!#REF!=""),"",INT((A49-'Cấu hình'!#REF!)/7)+1)</f>
        <v>#REF!</v>
      </c>
      <c r="C49" s="19"/>
      <c r="D49" s="18" t="str">
        <f>IF(C49="","",IFERROR(INDEX('Cấu hình'!$C$7:$C$16,MATCH(C49,'Cấu hình'!$B$7:$B$16,0)),""))</f>
        <v/>
      </c>
      <c r="E49" s="19"/>
      <c r="F49" s="19"/>
      <c r="G49" s="19"/>
      <c r="H49" s="19"/>
    </row>
    <row r="50" spans="1:8" x14ac:dyDescent="0.3">
      <c r="A50" s="24"/>
      <c r="B50" s="18" t="e">
        <f>IF(OR(A50="",'Cấu hình'!#REF!=""),"",INT((A50-'Cấu hình'!#REF!)/7)+1)</f>
        <v>#REF!</v>
      </c>
      <c r="C50" s="19"/>
      <c r="D50" s="18" t="str">
        <f>IF(C50="","",IFERROR(INDEX('Cấu hình'!$C$7:$C$16,MATCH(C50,'Cấu hình'!$B$7:$B$16,0)),""))</f>
        <v/>
      </c>
      <c r="E50" s="19"/>
      <c r="F50" s="19"/>
      <c r="G50" s="19"/>
      <c r="H50" s="19"/>
    </row>
    <row r="51" spans="1:8" x14ac:dyDescent="0.3">
      <c r="A51" s="24"/>
      <c r="B51" s="18" t="e">
        <f>IF(OR(A51="",'Cấu hình'!#REF!=""),"",INT((A51-'Cấu hình'!#REF!)/7)+1)</f>
        <v>#REF!</v>
      </c>
      <c r="C51" s="19"/>
      <c r="D51" s="18" t="str">
        <f>IF(C51="","",IFERROR(INDEX('Cấu hình'!$C$7:$C$16,MATCH(C51,'Cấu hình'!$B$7:$B$16,0)),""))</f>
        <v/>
      </c>
      <c r="E51" s="19"/>
      <c r="F51" s="19"/>
      <c r="G51" s="19"/>
      <c r="H51" s="19"/>
    </row>
    <row r="52" spans="1:8" x14ac:dyDescent="0.3">
      <c r="A52" s="24"/>
      <c r="B52" s="18" t="e">
        <f>IF(OR(A52="",'Cấu hình'!#REF!=""),"",INT((A52-'Cấu hình'!#REF!)/7)+1)</f>
        <v>#REF!</v>
      </c>
      <c r="C52" s="19"/>
      <c r="D52" s="18" t="str">
        <f>IF(C52="","",IFERROR(INDEX('Cấu hình'!$C$7:$C$16,MATCH(C52,'Cấu hình'!$B$7:$B$16,0)),""))</f>
        <v/>
      </c>
      <c r="E52" s="19"/>
      <c r="F52" s="19"/>
      <c r="G52" s="19"/>
      <c r="H52" s="19"/>
    </row>
    <row r="53" spans="1:8" x14ac:dyDescent="0.3">
      <c r="A53" s="24"/>
      <c r="B53" s="18" t="e">
        <f>IF(OR(A53="",'Cấu hình'!#REF!=""),"",INT((A53-'Cấu hình'!#REF!)/7)+1)</f>
        <v>#REF!</v>
      </c>
      <c r="C53" s="19"/>
      <c r="D53" s="18" t="str">
        <f>IF(C53="","",IFERROR(INDEX('Cấu hình'!$C$7:$C$16,MATCH(C53,'Cấu hình'!$B$7:$B$16,0)),""))</f>
        <v/>
      </c>
      <c r="E53" s="19"/>
      <c r="F53" s="19"/>
      <c r="G53" s="19"/>
      <c r="H53" s="19"/>
    </row>
    <row r="54" spans="1:8" x14ac:dyDescent="0.3">
      <c r="A54" s="24"/>
      <c r="B54" s="18" t="e">
        <f>IF(OR(A54="",'Cấu hình'!#REF!=""),"",INT((A54-'Cấu hình'!#REF!)/7)+1)</f>
        <v>#REF!</v>
      </c>
      <c r="C54" s="19"/>
      <c r="D54" s="18" t="str">
        <f>IF(C54="","",IFERROR(INDEX('Cấu hình'!$C$7:$C$16,MATCH(C54,'Cấu hình'!$B$7:$B$16,0)),""))</f>
        <v/>
      </c>
      <c r="E54" s="19"/>
      <c r="F54" s="19"/>
      <c r="G54" s="19"/>
      <c r="H54" s="19"/>
    </row>
    <row r="55" spans="1:8" x14ac:dyDescent="0.3">
      <c r="A55" s="24"/>
      <c r="B55" s="18" t="e">
        <f>IF(OR(A55="",'Cấu hình'!#REF!=""),"",INT((A55-'Cấu hình'!#REF!)/7)+1)</f>
        <v>#REF!</v>
      </c>
      <c r="C55" s="19"/>
      <c r="D55" s="18" t="str">
        <f>IF(C55="","",IFERROR(INDEX('Cấu hình'!$C$7:$C$16,MATCH(C55,'Cấu hình'!$B$7:$B$16,0)),""))</f>
        <v/>
      </c>
      <c r="E55" s="19"/>
      <c r="F55" s="19"/>
      <c r="G55" s="19"/>
      <c r="H55" s="19"/>
    </row>
    <row r="56" spans="1:8" x14ac:dyDescent="0.3">
      <c r="A56" s="24"/>
      <c r="B56" s="18" t="e">
        <f>IF(OR(A56="",'Cấu hình'!#REF!=""),"",INT((A56-'Cấu hình'!#REF!)/7)+1)</f>
        <v>#REF!</v>
      </c>
      <c r="C56" s="19"/>
      <c r="D56" s="18" t="str">
        <f>IF(C56="","",IFERROR(INDEX('Cấu hình'!$C$7:$C$16,MATCH(C56,'Cấu hình'!$B$7:$B$16,0)),""))</f>
        <v/>
      </c>
      <c r="E56" s="19"/>
      <c r="F56" s="19"/>
      <c r="G56" s="19"/>
      <c r="H56" s="19"/>
    </row>
    <row r="57" spans="1:8" x14ac:dyDescent="0.3">
      <c r="A57" s="24"/>
      <c r="B57" s="18" t="e">
        <f>IF(OR(A57="",'Cấu hình'!#REF!=""),"",INT((A57-'Cấu hình'!#REF!)/7)+1)</f>
        <v>#REF!</v>
      </c>
      <c r="C57" s="19"/>
      <c r="D57" s="18" t="str">
        <f>IF(C57="","",IFERROR(INDEX('Cấu hình'!$C$7:$C$16,MATCH(C57,'Cấu hình'!$B$7:$B$16,0)),""))</f>
        <v/>
      </c>
      <c r="E57" s="19"/>
      <c r="F57" s="19"/>
      <c r="G57" s="19"/>
      <c r="H57" s="19"/>
    </row>
    <row r="58" spans="1:8" x14ac:dyDescent="0.3">
      <c r="A58" s="24"/>
      <c r="B58" s="18" t="e">
        <f>IF(OR(A58="",'Cấu hình'!#REF!=""),"",INT((A58-'Cấu hình'!#REF!)/7)+1)</f>
        <v>#REF!</v>
      </c>
      <c r="C58" s="19"/>
      <c r="D58" s="18" t="str">
        <f>IF(C58="","",IFERROR(INDEX('Cấu hình'!$C$7:$C$16,MATCH(C58,'Cấu hình'!$B$7:$B$16,0)),""))</f>
        <v/>
      </c>
      <c r="E58" s="19"/>
      <c r="F58" s="19"/>
      <c r="G58" s="19"/>
      <c r="H58" s="19"/>
    </row>
    <row r="59" spans="1:8" x14ac:dyDescent="0.3">
      <c r="A59" s="24"/>
      <c r="B59" s="18" t="e">
        <f>IF(OR(A59="",'Cấu hình'!#REF!=""),"",INT((A59-'Cấu hình'!#REF!)/7)+1)</f>
        <v>#REF!</v>
      </c>
      <c r="C59" s="19"/>
      <c r="D59" s="18" t="str">
        <f>IF(C59="","",IFERROR(INDEX('Cấu hình'!$C$7:$C$16,MATCH(C59,'Cấu hình'!$B$7:$B$16,0)),""))</f>
        <v/>
      </c>
      <c r="E59" s="19"/>
      <c r="F59" s="19"/>
      <c r="G59" s="19"/>
      <c r="H59" s="19"/>
    </row>
    <row r="60" spans="1:8" x14ac:dyDescent="0.3">
      <c r="A60" s="24"/>
      <c r="B60" s="18" t="e">
        <f>IF(OR(A60="",'Cấu hình'!#REF!=""),"",INT((A60-'Cấu hình'!#REF!)/7)+1)</f>
        <v>#REF!</v>
      </c>
      <c r="C60" s="19"/>
      <c r="D60" s="18" t="str">
        <f>IF(C60="","",IFERROR(INDEX('Cấu hình'!$C$7:$C$16,MATCH(C60,'Cấu hình'!$B$7:$B$16,0)),""))</f>
        <v/>
      </c>
      <c r="E60" s="19"/>
      <c r="F60" s="19"/>
      <c r="G60" s="19"/>
      <c r="H60" s="19"/>
    </row>
    <row r="61" spans="1:8" x14ac:dyDescent="0.3">
      <c r="A61" s="24"/>
      <c r="B61" s="18" t="e">
        <f>IF(OR(A61="",'Cấu hình'!#REF!=""),"",INT((A61-'Cấu hình'!#REF!)/7)+1)</f>
        <v>#REF!</v>
      </c>
      <c r="C61" s="19"/>
      <c r="D61" s="18" t="str">
        <f>IF(C61="","",IFERROR(INDEX('Cấu hình'!$C$7:$C$16,MATCH(C61,'Cấu hình'!$B$7:$B$16,0)),""))</f>
        <v/>
      </c>
      <c r="E61" s="19"/>
      <c r="F61" s="19"/>
      <c r="G61" s="19"/>
      <c r="H61" s="19"/>
    </row>
    <row r="62" spans="1:8" x14ac:dyDescent="0.3">
      <c r="A62" s="24"/>
      <c r="B62" s="18" t="e">
        <f>IF(OR(A62="",'Cấu hình'!#REF!=""),"",INT((A62-'Cấu hình'!#REF!)/7)+1)</f>
        <v>#REF!</v>
      </c>
      <c r="C62" s="19"/>
      <c r="D62" s="18" t="str">
        <f>IF(C62="","",IFERROR(INDEX('Cấu hình'!$C$7:$C$16,MATCH(C62,'Cấu hình'!$B$7:$B$16,0)),""))</f>
        <v/>
      </c>
      <c r="E62" s="19"/>
      <c r="F62" s="19"/>
      <c r="G62" s="19"/>
      <c r="H62" s="19"/>
    </row>
    <row r="63" spans="1:8" x14ac:dyDescent="0.3">
      <c r="A63" s="24"/>
      <c r="B63" s="18" t="e">
        <f>IF(OR(A63="",'Cấu hình'!#REF!=""),"",INT((A63-'Cấu hình'!#REF!)/7)+1)</f>
        <v>#REF!</v>
      </c>
      <c r="C63" s="19"/>
      <c r="D63" s="18" t="str">
        <f>IF(C63="","",IFERROR(INDEX('Cấu hình'!$C$7:$C$16,MATCH(C63,'Cấu hình'!$B$7:$B$16,0)),""))</f>
        <v/>
      </c>
      <c r="E63" s="19"/>
      <c r="F63" s="19"/>
      <c r="G63" s="19"/>
      <c r="H63" s="19"/>
    </row>
    <row r="64" spans="1:8" x14ac:dyDescent="0.3">
      <c r="A64" s="24"/>
      <c r="B64" s="18" t="e">
        <f>IF(OR(A64="",'Cấu hình'!#REF!=""),"",INT((A64-'Cấu hình'!#REF!)/7)+1)</f>
        <v>#REF!</v>
      </c>
      <c r="C64" s="19"/>
      <c r="D64" s="18" t="str">
        <f>IF(C64="","",IFERROR(INDEX('Cấu hình'!$C$7:$C$16,MATCH(C64,'Cấu hình'!$B$7:$B$16,0)),""))</f>
        <v/>
      </c>
      <c r="E64" s="19"/>
      <c r="F64" s="19"/>
      <c r="G64" s="19"/>
      <c r="H64" s="19"/>
    </row>
    <row r="65" spans="1:8" x14ac:dyDescent="0.3">
      <c r="A65" s="24"/>
      <c r="B65" s="18" t="e">
        <f>IF(OR(A65="",'Cấu hình'!#REF!=""),"",INT((A65-'Cấu hình'!#REF!)/7)+1)</f>
        <v>#REF!</v>
      </c>
      <c r="C65" s="19"/>
      <c r="D65" s="18" t="str">
        <f>IF(C65="","",IFERROR(INDEX('Cấu hình'!$C$7:$C$16,MATCH(C65,'Cấu hình'!$B$7:$B$16,0)),""))</f>
        <v/>
      </c>
      <c r="E65" s="19"/>
      <c r="F65" s="19"/>
      <c r="G65" s="19"/>
      <c r="H65" s="19"/>
    </row>
    <row r="66" spans="1:8" x14ac:dyDescent="0.3">
      <c r="A66" s="24"/>
      <c r="B66" s="18" t="e">
        <f>IF(OR(A66="",'Cấu hình'!#REF!=""),"",INT((A66-'Cấu hình'!#REF!)/7)+1)</f>
        <v>#REF!</v>
      </c>
      <c r="C66" s="19"/>
      <c r="D66" s="18" t="str">
        <f>IF(C66="","",IFERROR(INDEX('Cấu hình'!$C$7:$C$16,MATCH(C66,'Cấu hình'!$B$7:$B$16,0)),""))</f>
        <v/>
      </c>
      <c r="E66" s="19"/>
      <c r="F66" s="19"/>
      <c r="G66" s="19"/>
      <c r="H66" s="19"/>
    </row>
    <row r="67" spans="1:8" x14ac:dyDescent="0.3">
      <c r="A67" s="24"/>
      <c r="B67" s="18" t="e">
        <f>IF(OR(A67="",'Cấu hình'!#REF!=""),"",INT((A67-'Cấu hình'!#REF!)/7)+1)</f>
        <v>#REF!</v>
      </c>
      <c r="C67" s="19"/>
      <c r="D67" s="18" t="str">
        <f>IF(C67="","",IFERROR(INDEX('Cấu hình'!$C$7:$C$16,MATCH(C67,'Cấu hình'!$B$7:$B$16,0)),""))</f>
        <v/>
      </c>
      <c r="E67" s="19"/>
      <c r="F67" s="19"/>
      <c r="G67" s="19"/>
      <c r="H67" s="19"/>
    </row>
    <row r="68" spans="1:8" x14ac:dyDescent="0.3">
      <c r="A68" s="24"/>
      <c r="B68" s="18" t="e">
        <f>IF(OR(A68="",'Cấu hình'!#REF!=""),"",INT((A68-'Cấu hình'!#REF!)/7)+1)</f>
        <v>#REF!</v>
      </c>
      <c r="C68" s="19"/>
      <c r="D68" s="18" t="str">
        <f>IF(C68="","",IFERROR(INDEX('Cấu hình'!$C$7:$C$16,MATCH(C68,'Cấu hình'!$B$7:$B$16,0)),""))</f>
        <v/>
      </c>
      <c r="E68" s="19"/>
      <c r="F68" s="19"/>
      <c r="G68" s="19"/>
      <c r="H68" s="19"/>
    </row>
    <row r="69" spans="1:8" x14ac:dyDescent="0.3">
      <c r="A69" s="24"/>
      <c r="B69" s="18" t="e">
        <f>IF(OR(A69="",'Cấu hình'!#REF!=""),"",INT((A69-'Cấu hình'!#REF!)/7)+1)</f>
        <v>#REF!</v>
      </c>
      <c r="C69" s="19"/>
      <c r="D69" s="18" t="str">
        <f>IF(C69="","",IFERROR(INDEX('Cấu hình'!$C$7:$C$16,MATCH(C69,'Cấu hình'!$B$7:$B$16,0)),""))</f>
        <v/>
      </c>
      <c r="E69" s="19"/>
      <c r="F69" s="19"/>
      <c r="G69" s="19"/>
      <c r="H69" s="19"/>
    </row>
    <row r="70" spans="1:8" x14ac:dyDescent="0.3">
      <c r="A70" s="24"/>
      <c r="B70" s="18" t="e">
        <f>IF(OR(A70="",'Cấu hình'!#REF!=""),"",INT((A70-'Cấu hình'!#REF!)/7)+1)</f>
        <v>#REF!</v>
      </c>
      <c r="C70" s="19"/>
      <c r="D70" s="18" t="str">
        <f>IF(C70="","",IFERROR(INDEX('Cấu hình'!$C$7:$C$16,MATCH(C70,'Cấu hình'!$B$7:$B$16,0)),""))</f>
        <v/>
      </c>
      <c r="E70" s="19"/>
      <c r="F70" s="19"/>
      <c r="G70" s="19"/>
      <c r="H70" s="19"/>
    </row>
    <row r="71" spans="1:8" x14ac:dyDescent="0.3">
      <c r="A71" s="24"/>
      <c r="B71" s="18" t="e">
        <f>IF(OR(A71="",'Cấu hình'!#REF!=""),"",INT((A71-'Cấu hình'!#REF!)/7)+1)</f>
        <v>#REF!</v>
      </c>
      <c r="C71" s="19"/>
      <c r="D71" s="18" t="str">
        <f>IF(C71="","",IFERROR(INDEX('Cấu hình'!$C$7:$C$16,MATCH(C71,'Cấu hình'!$B$7:$B$16,0)),""))</f>
        <v/>
      </c>
      <c r="E71" s="19"/>
      <c r="F71" s="19"/>
      <c r="G71" s="19"/>
      <c r="H71" s="19"/>
    </row>
    <row r="72" spans="1:8" x14ac:dyDescent="0.3">
      <c r="A72" s="24"/>
      <c r="B72" s="18" t="e">
        <f>IF(OR(A72="",'Cấu hình'!#REF!=""),"",INT((A72-'Cấu hình'!#REF!)/7)+1)</f>
        <v>#REF!</v>
      </c>
      <c r="C72" s="19"/>
      <c r="D72" s="18" t="str">
        <f>IF(C72="","",IFERROR(INDEX('Cấu hình'!$C$7:$C$16,MATCH(C72,'Cấu hình'!$B$7:$B$16,0)),""))</f>
        <v/>
      </c>
      <c r="E72" s="19"/>
      <c r="F72" s="19"/>
      <c r="G72" s="19"/>
      <c r="H72" s="19"/>
    </row>
    <row r="73" spans="1:8" x14ac:dyDescent="0.3">
      <c r="A73" s="24"/>
      <c r="B73" s="18" t="e">
        <f>IF(OR(A73="",'Cấu hình'!#REF!=""),"",INT((A73-'Cấu hình'!#REF!)/7)+1)</f>
        <v>#REF!</v>
      </c>
      <c r="C73" s="19"/>
      <c r="D73" s="18" t="str">
        <f>IF(C73="","",IFERROR(INDEX('Cấu hình'!$C$7:$C$16,MATCH(C73,'Cấu hình'!$B$7:$B$16,0)),""))</f>
        <v/>
      </c>
      <c r="E73" s="19"/>
      <c r="F73" s="19"/>
      <c r="G73" s="19"/>
      <c r="H73" s="19"/>
    </row>
    <row r="74" spans="1:8" x14ac:dyDescent="0.3">
      <c r="A74" s="24"/>
      <c r="B74" s="18" t="e">
        <f>IF(OR(A74="",'Cấu hình'!#REF!=""),"",INT((A74-'Cấu hình'!#REF!)/7)+1)</f>
        <v>#REF!</v>
      </c>
      <c r="C74" s="19"/>
      <c r="D74" s="18" t="str">
        <f>IF(C74="","",IFERROR(INDEX('Cấu hình'!$C$7:$C$16,MATCH(C74,'Cấu hình'!$B$7:$B$16,0)),""))</f>
        <v/>
      </c>
      <c r="E74" s="19"/>
      <c r="F74" s="19"/>
      <c r="G74" s="19"/>
      <c r="H74" s="19"/>
    </row>
    <row r="75" spans="1:8" x14ac:dyDescent="0.3">
      <c r="A75" s="24"/>
      <c r="B75" s="18" t="e">
        <f>IF(OR(A75="",'Cấu hình'!#REF!=""),"",INT((A75-'Cấu hình'!#REF!)/7)+1)</f>
        <v>#REF!</v>
      </c>
      <c r="C75" s="19"/>
      <c r="D75" s="18" t="str">
        <f>IF(C75="","",IFERROR(INDEX('Cấu hình'!$C$7:$C$16,MATCH(C75,'Cấu hình'!$B$7:$B$16,0)),""))</f>
        <v/>
      </c>
      <c r="E75" s="19"/>
      <c r="F75" s="19"/>
      <c r="G75" s="19"/>
      <c r="H75" s="19"/>
    </row>
    <row r="76" spans="1:8" x14ac:dyDescent="0.3">
      <c r="A76" s="24"/>
      <c r="B76" s="18" t="e">
        <f>IF(OR(A76="",'Cấu hình'!#REF!=""),"",INT((A76-'Cấu hình'!#REF!)/7)+1)</f>
        <v>#REF!</v>
      </c>
      <c r="C76" s="19"/>
      <c r="D76" s="18" t="str">
        <f>IF(C76="","",IFERROR(INDEX('Cấu hình'!$C$7:$C$16,MATCH(C76,'Cấu hình'!$B$7:$B$16,0)),""))</f>
        <v/>
      </c>
      <c r="E76" s="19"/>
      <c r="F76" s="19"/>
      <c r="G76" s="19"/>
      <c r="H76" s="19"/>
    </row>
    <row r="77" spans="1:8" x14ac:dyDescent="0.3">
      <c r="A77" s="24"/>
      <c r="B77" s="18" t="e">
        <f>IF(OR(A77="",'Cấu hình'!#REF!=""),"",INT((A77-'Cấu hình'!#REF!)/7)+1)</f>
        <v>#REF!</v>
      </c>
      <c r="C77" s="19"/>
      <c r="D77" s="18" t="str">
        <f>IF(C77="","",IFERROR(INDEX('Cấu hình'!$C$7:$C$16,MATCH(C77,'Cấu hình'!$B$7:$B$16,0)),""))</f>
        <v/>
      </c>
      <c r="E77" s="19"/>
      <c r="F77" s="19"/>
      <c r="G77" s="19"/>
      <c r="H77" s="19"/>
    </row>
    <row r="78" spans="1:8" x14ac:dyDescent="0.3">
      <c r="A78" s="24"/>
      <c r="B78" s="18" t="e">
        <f>IF(OR(A78="",'Cấu hình'!#REF!=""),"",INT((A78-'Cấu hình'!#REF!)/7)+1)</f>
        <v>#REF!</v>
      </c>
      <c r="C78" s="19"/>
      <c r="D78" s="18" t="str">
        <f>IF(C78="","",IFERROR(INDEX('Cấu hình'!$C$7:$C$16,MATCH(C78,'Cấu hình'!$B$7:$B$16,0)),""))</f>
        <v/>
      </c>
      <c r="E78" s="19"/>
      <c r="F78" s="19"/>
      <c r="G78" s="19"/>
      <c r="H78" s="19"/>
    </row>
    <row r="79" spans="1:8" x14ac:dyDescent="0.3">
      <c r="A79" s="24"/>
      <c r="B79" s="18" t="e">
        <f>IF(OR(A79="",'Cấu hình'!#REF!=""),"",INT((A79-'Cấu hình'!#REF!)/7)+1)</f>
        <v>#REF!</v>
      </c>
      <c r="C79" s="19"/>
      <c r="D79" s="18" t="str">
        <f>IF(C79="","",IFERROR(INDEX('Cấu hình'!$C$7:$C$16,MATCH(C79,'Cấu hình'!$B$7:$B$16,0)),""))</f>
        <v/>
      </c>
      <c r="E79" s="19"/>
      <c r="F79" s="19"/>
      <c r="G79" s="19"/>
      <c r="H79" s="19"/>
    </row>
    <row r="80" spans="1:8" x14ac:dyDescent="0.3">
      <c r="A80" s="24"/>
      <c r="B80" s="18" t="e">
        <f>IF(OR(A80="",'Cấu hình'!#REF!=""),"",INT((A80-'Cấu hình'!#REF!)/7)+1)</f>
        <v>#REF!</v>
      </c>
      <c r="C80" s="19"/>
      <c r="D80" s="18" t="str">
        <f>IF(C80="","",IFERROR(INDEX('Cấu hình'!$C$7:$C$16,MATCH(C80,'Cấu hình'!$B$7:$B$16,0)),""))</f>
        <v/>
      </c>
      <c r="E80" s="19"/>
      <c r="F80" s="19"/>
      <c r="G80" s="19"/>
      <c r="H80" s="19"/>
    </row>
    <row r="81" spans="1:8" x14ac:dyDescent="0.3">
      <c r="A81" s="24"/>
      <c r="B81" s="18" t="e">
        <f>IF(OR(A81="",'Cấu hình'!#REF!=""),"",INT((A81-'Cấu hình'!#REF!)/7)+1)</f>
        <v>#REF!</v>
      </c>
      <c r="C81" s="19"/>
      <c r="D81" s="18" t="str">
        <f>IF(C81="","",IFERROR(INDEX('Cấu hình'!$C$7:$C$16,MATCH(C81,'Cấu hình'!$B$7:$B$16,0)),""))</f>
        <v/>
      </c>
      <c r="E81" s="19"/>
      <c r="F81" s="19"/>
      <c r="G81" s="19"/>
      <c r="H81" s="19"/>
    </row>
    <row r="82" spans="1:8" x14ac:dyDescent="0.3">
      <c r="A82" s="24"/>
      <c r="B82" s="18" t="e">
        <f>IF(OR(A82="",'Cấu hình'!#REF!=""),"",INT((A82-'Cấu hình'!#REF!)/7)+1)</f>
        <v>#REF!</v>
      </c>
      <c r="C82" s="19"/>
      <c r="D82" s="18" t="str">
        <f>IF(C82="","",IFERROR(INDEX('Cấu hình'!$C$7:$C$16,MATCH(C82,'Cấu hình'!$B$7:$B$16,0)),""))</f>
        <v/>
      </c>
      <c r="E82" s="19"/>
      <c r="F82" s="19"/>
      <c r="G82" s="19"/>
      <c r="H82" s="19"/>
    </row>
    <row r="83" spans="1:8" x14ac:dyDescent="0.3">
      <c r="A83" s="24"/>
      <c r="B83" s="18" t="e">
        <f>IF(OR(A83="",'Cấu hình'!#REF!=""),"",INT((A83-'Cấu hình'!#REF!)/7)+1)</f>
        <v>#REF!</v>
      </c>
      <c r="C83" s="19"/>
      <c r="D83" s="18" t="str">
        <f>IF(C83="","",IFERROR(INDEX('Cấu hình'!$C$7:$C$16,MATCH(C83,'Cấu hình'!$B$7:$B$16,0)),""))</f>
        <v/>
      </c>
      <c r="E83" s="19"/>
      <c r="F83" s="19"/>
      <c r="G83" s="19"/>
      <c r="H83" s="19"/>
    </row>
    <row r="84" spans="1:8" x14ac:dyDescent="0.3">
      <c r="A84" s="24"/>
      <c r="B84" s="18" t="e">
        <f>IF(OR(A84="",'Cấu hình'!#REF!=""),"",INT((A84-'Cấu hình'!#REF!)/7)+1)</f>
        <v>#REF!</v>
      </c>
      <c r="C84" s="19"/>
      <c r="D84" s="18" t="str">
        <f>IF(C84="","",IFERROR(INDEX('Cấu hình'!$C$7:$C$16,MATCH(C84,'Cấu hình'!$B$7:$B$16,0)),""))</f>
        <v/>
      </c>
      <c r="E84" s="19"/>
      <c r="F84" s="19"/>
      <c r="G84" s="19"/>
      <c r="H84" s="19"/>
    </row>
    <row r="85" spans="1:8" x14ac:dyDescent="0.3">
      <c r="A85" s="24"/>
      <c r="B85" s="18" t="e">
        <f>IF(OR(A85="",'Cấu hình'!#REF!=""),"",INT((A85-'Cấu hình'!#REF!)/7)+1)</f>
        <v>#REF!</v>
      </c>
      <c r="C85" s="19"/>
      <c r="D85" s="18" t="str">
        <f>IF(C85="","",IFERROR(INDEX('Cấu hình'!$C$7:$C$16,MATCH(C85,'Cấu hình'!$B$7:$B$16,0)),""))</f>
        <v/>
      </c>
      <c r="E85" s="19"/>
      <c r="F85" s="19"/>
      <c r="G85" s="19"/>
      <c r="H85" s="19"/>
    </row>
    <row r="86" spans="1:8" x14ac:dyDescent="0.3">
      <c r="A86" s="24"/>
      <c r="B86" s="18" t="e">
        <f>IF(OR(A86="",'Cấu hình'!#REF!=""),"",INT((A86-'Cấu hình'!#REF!)/7)+1)</f>
        <v>#REF!</v>
      </c>
      <c r="C86" s="19"/>
      <c r="D86" s="18" t="str">
        <f>IF(C86="","",IFERROR(INDEX('Cấu hình'!$C$7:$C$16,MATCH(C86,'Cấu hình'!$B$7:$B$16,0)),""))</f>
        <v/>
      </c>
      <c r="E86" s="19"/>
      <c r="F86" s="19"/>
      <c r="G86" s="19"/>
      <c r="H86" s="19"/>
    </row>
    <row r="87" spans="1:8" x14ac:dyDescent="0.3">
      <c r="A87" s="24"/>
      <c r="B87" s="18" t="e">
        <f>IF(OR(A87="",'Cấu hình'!#REF!=""),"",INT((A87-'Cấu hình'!#REF!)/7)+1)</f>
        <v>#REF!</v>
      </c>
      <c r="C87" s="19"/>
      <c r="D87" s="18" t="str">
        <f>IF(C87="","",IFERROR(INDEX('Cấu hình'!$C$7:$C$16,MATCH(C87,'Cấu hình'!$B$7:$B$16,0)),""))</f>
        <v/>
      </c>
      <c r="E87" s="19"/>
      <c r="F87" s="19"/>
      <c r="G87" s="19"/>
      <c r="H87" s="19"/>
    </row>
    <row r="88" spans="1:8" x14ac:dyDescent="0.3">
      <c r="A88" s="24"/>
      <c r="B88" s="18" t="e">
        <f>IF(OR(A88="",'Cấu hình'!#REF!=""),"",INT((A88-'Cấu hình'!#REF!)/7)+1)</f>
        <v>#REF!</v>
      </c>
      <c r="C88" s="19"/>
      <c r="D88" s="18" t="str">
        <f>IF(C88="","",IFERROR(INDEX('Cấu hình'!$C$7:$C$16,MATCH(C88,'Cấu hình'!$B$7:$B$16,0)),""))</f>
        <v/>
      </c>
      <c r="E88" s="19"/>
      <c r="F88" s="19"/>
      <c r="G88" s="19"/>
      <c r="H88" s="19"/>
    </row>
    <row r="89" spans="1:8" x14ac:dyDescent="0.3">
      <c r="A89" s="24"/>
      <c r="B89" s="18" t="e">
        <f>IF(OR(A89="",'Cấu hình'!#REF!=""),"",INT((A89-'Cấu hình'!#REF!)/7)+1)</f>
        <v>#REF!</v>
      </c>
      <c r="C89" s="19"/>
      <c r="D89" s="18" t="str">
        <f>IF(C89="","",IFERROR(INDEX('Cấu hình'!$C$7:$C$16,MATCH(C89,'Cấu hình'!$B$7:$B$16,0)),""))</f>
        <v/>
      </c>
      <c r="E89" s="19"/>
      <c r="F89" s="19"/>
      <c r="G89" s="19"/>
      <c r="H89" s="19"/>
    </row>
    <row r="90" spans="1:8" x14ac:dyDescent="0.3">
      <c r="A90" s="24"/>
      <c r="B90" s="18" t="e">
        <f>IF(OR(A90="",'Cấu hình'!#REF!=""),"",INT((A90-'Cấu hình'!#REF!)/7)+1)</f>
        <v>#REF!</v>
      </c>
      <c r="C90" s="19"/>
      <c r="D90" s="18" t="str">
        <f>IF(C90="","",IFERROR(INDEX('Cấu hình'!$C$7:$C$16,MATCH(C90,'Cấu hình'!$B$7:$B$16,0)),""))</f>
        <v/>
      </c>
      <c r="E90" s="19"/>
      <c r="F90" s="19"/>
      <c r="G90" s="19"/>
      <c r="H90" s="19"/>
    </row>
    <row r="91" spans="1:8" x14ac:dyDescent="0.3">
      <c r="A91" s="24"/>
      <c r="B91" s="18" t="e">
        <f>IF(OR(A91="",'Cấu hình'!#REF!=""),"",INT((A91-'Cấu hình'!#REF!)/7)+1)</f>
        <v>#REF!</v>
      </c>
      <c r="C91" s="19"/>
      <c r="D91" s="18" t="str">
        <f>IF(C91="","",IFERROR(INDEX('Cấu hình'!$C$7:$C$16,MATCH(C91,'Cấu hình'!$B$7:$B$16,0)),""))</f>
        <v/>
      </c>
      <c r="E91" s="19"/>
      <c r="F91" s="19"/>
      <c r="G91" s="19"/>
      <c r="H91" s="19"/>
    </row>
    <row r="92" spans="1:8" x14ac:dyDescent="0.3">
      <c r="A92" s="24"/>
      <c r="B92" s="18" t="e">
        <f>IF(OR(A92="",'Cấu hình'!#REF!=""),"",INT((A92-'Cấu hình'!#REF!)/7)+1)</f>
        <v>#REF!</v>
      </c>
      <c r="C92" s="19"/>
      <c r="D92" s="18" t="str">
        <f>IF(C92="","",IFERROR(INDEX('Cấu hình'!$C$7:$C$16,MATCH(C92,'Cấu hình'!$B$7:$B$16,0)),""))</f>
        <v/>
      </c>
      <c r="E92" s="19"/>
      <c r="F92" s="19"/>
      <c r="G92" s="19"/>
      <c r="H92" s="19"/>
    </row>
    <row r="93" spans="1:8" x14ac:dyDescent="0.3">
      <c r="A93" s="24"/>
      <c r="B93" s="18" t="e">
        <f>IF(OR(A93="",'Cấu hình'!#REF!=""),"",INT((A93-'Cấu hình'!#REF!)/7)+1)</f>
        <v>#REF!</v>
      </c>
      <c r="C93" s="19"/>
      <c r="D93" s="18" t="str">
        <f>IF(C93="","",IFERROR(INDEX('Cấu hình'!$C$7:$C$16,MATCH(C93,'Cấu hình'!$B$7:$B$16,0)),""))</f>
        <v/>
      </c>
      <c r="E93" s="19"/>
      <c r="F93" s="19"/>
      <c r="G93" s="19"/>
      <c r="H93" s="19"/>
    </row>
    <row r="94" spans="1:8" x14ac:dyDescent="0.3">
      <c r="A94" s="24"/>
      <c r="B94" s="18" t="e">
        <f>IF(OR(A94="",'Cấu hình'!#REF!=""),"",INT((A94-'Cấu hình'!#REF!)/7)+1)</f>
        <v>#REF!</v>
      </c>
      <c r="C94" s="19"/>
      <c r="D94" s="18" t="str">
        <f>IF(C94="","",IFERROR(INDEX('Cấu hình'!$C$7:$C$16,MATCH(C94,'Cấu hình'!$B$7:$B$16,0)),""))</f>
        <v/>
      </c>
      <c r="E94" s="19"/>
      <c r="F94" s="19"/>
      <c r="G94" s="19"/>
      <c r="H94" s="19"/>
    </row>
    <row r="95" spans="1:8" x14ac:dyDescent="0.3">
      <c r="A95" s="24"/>
      <c r="B95" s="18" t="e">
        <f>IF(OR(A95="",'Cấu hình'!#REF!=""),"",INT((A95-'Cấu hình'!#REF!)/7)+1)</f>
        <v>#REF!</v>
      </c>
      <c r="C95" s="19"/>
      <c r="D95" s="18" t="str">
        <f>IF(C95="","",IFERROR(INDEX('Cấu hình'!$C$7:$C$16,MATCH(C95,'Cấu hình'!$B$7:$B$16,0)),""))</f>
        <v/>
      </c>
      <c r="E95" s="19"/>
      <c r="F95" s="19"/>
      <c r="G95" s="19"/>
      <c r="H95" s="19"/>
    </row>
    <row r="96" spans="1:8" x14ac:dyDescent="0.3">
      <c r="A96" s="24"/>
      <c r="B96" s="18" t="e">
        <f>IF(OR(A96="",'Cấu hình'!#REF!=""),"",INT((A96-'Cấu hình'!#REF!)/7)+1)</f>
        <v>#REF!</v>
      </c>
      <c r="C96" s="19"/>
      <c r="D96" s="18" t="str">
        <f>IF(C96="","",IFERROR(INDEX('Cấu hình'!$C$7:$C$16,MATCH(C96,'Cấu hình'!$B$7:$B$16,0)),""))</f>
        <v/>
      </c>
      <c r="E96" s="19"/>
      <c r="F96" s="19"/>
      <c r="G96" s="19"/>
      <c r="H96" s="19"/>
    </row>
    <row r="97" spans="1:8" x14ac:dyDescent="0.3">
      <c r="A97" s="24"/>
      <c r="B97" s="18" t="e">
        <f>IF(OR(A97="",'Cấu hình'!#REF!=""),"",INT((A97-'Cấu hình'!#REF!)/7)+1)</f>
        <v>#REF!</v>
      </c>
      <c r="C97" s="19"/>
      <c r="D97" s="18" t="str">
        <f>IF(C97="","",IFERROR(INDEX('Cấu hình'!$C$7:$C$16,MATCH(C97,'Cấu hình'!$B$7:$B$16,0)),""))</f>
        <v/>
      </c>
      <c r="E97" s="19"/>
      <c r="F97" s="19"/>
      <c r="G97" s="19"/>
      <c r="H97" s="19"/>
    </row>
    <row r="98" spans="1:8" x14ac:dyDescent="0.3">
      <c r="A98" s="24"/>
      <c r="B98" s="18" t="e">
        <f>IF(OR(A98="",'Cấu hình'!#REF!=""),"",INT((A98-'Cấu hình'!#REF!)/7)+1)</f>
        <v>#REF!</v>
      </c>
      <c r="C98" s="19"/>
      <c r="D98" s="18" t="str">
        <f>IF(C98="","",IFERROR(INDEX('Cấu hình'!$C$7:$C$16,MATCH(C98,'Cấu hình'!$B$7:$B$16,0)),""))</f>
        <v/>
      </c>
      <c r="E98" s="19"/>
      <c r="F98" s="19"/>
      <c r="G98" s="19"/>
      <c r="H98" s="19"/>
    </row>
    <row r="99" spans="1:8" x14ac:dyDescent="0.3">
      <c r="A99" s="24"/>
      <c r="B99" s="18" t="e">
        <f>IF(OR(A99="",'Cấu hình'!#REF!=""),"",INT((A99-'Cấu hình'!#REF!)/7)+1)</f>
        <v>#REF!</v>
      </c>
      <c r="C99" s="19"/>
      <c r="D99" s="18" t="str">
        <f>IF(C99="","",IFERROR(INDEX('Cấu hình'!$C$7:$C$16,MATCH(C99,'Cấu hình'!$B$7:$B$16,0)),""))</f>
        <v/>
      </c>
      <c r="E99" s="19"/>
      <c r="F99" s="19"/>
      <c r="G99" s="19"/>
      <c r="H99" s="19"/>
    </row>
    <row r="100" spans="1:8" x14ac:dyDescent="0.3">
      <c r="A100" s="24"/>
      <c r="B100" s="18" t="e">
        <f>IF(OR(A100="",'Cấu hình'!#REF!=""),"",INT((A100-'Cấu hình'!#REF!)/7)+1)</f>
        <v>#REF!</v>
      </c>
      <c r="C100" s="19"/>
      <c r="D100" s="18" t="str">
        <f>IF(C100="","",IFERROR(INDEX('Cấu hình'!$C$7:$C$16,MATCH(C100,'Cấu hình'!$B$7:$B$16,0)),""))</f>
        <v/>
      </c>
      <c r="E100" s="19"/>
      <c r="F100" s="19"/>
      <c r="G100" s="19"/>
      <c r="H100" s="19"/>
    </row>
    <row r="101" spans="1:8" x14ac:dyDescent="0.3">
      <c r="A101" s="24"/>
      <c r="B101" s="18" t="e">
        <f>IF(OR(A101="",'Cấu hình'!#REF!=""),"",INT((A101-'Cấu hình'!#REF!)/7)+1)</f>
        <v>#REF!</v>
      </c>
      <c r="C101" s="19"/>
      <c r="D101" s="18" t="str">
        <f>IF(C101="","",IFERROR(INDEX('Cấu hình'!$C$7:$C$16,MATCH(C101,'Cấu hình'!$B$7:$B$16,0)),""))</f>
        <v/>
      </c>
      <c r="E101" s="19"/>
      <c r="F101" s="19"/>
      <c r="G101" s="19"/>
      <c r="H101" s="19"/>
    </row>
    <row r="102" spans="1:8" x14ac:dyDescent="0.3">
      <c r="A102" s="24"/>
      <c r="B102" s="18" t="e">
        <f>IF(OR(A102="",'Cấu hình'!#REF!=""),"",INT((A102-'Cấu hình'!#REF!)/7)+1)</f>
        <v>#REF!</v>
      </c>
      <c r="C102" s="19"/>
      <c r="D102" s="18" t="str">
        <f>IF(C102="","",IFERROR(INDEX('Cấu hình'!$C$7:$C$16,MATCH(C102,'Cấu hình'!$B$7:$B$16,0)),""))</f>
        <v/>
      </c>
      <c r="E102" s="19"/>
      <c r="F102" s="19"/>
      <c r="G102" s="19"/>
      <c r="H102" s="19"/>
    </row>
    <row r="103" spans="1:8" x14ac:dyDescent="0.3">
      <c r="A103" s="24"/>
      <c r="B103" s="18" t="e">
        <f>IF(OR(A103="",'Cấu hình'!#REF!=""),"",INT((A103-'Cấu hình'!#REF!)/7)+1)</f>
        <v>#REF!</v>
      </c>
      <c r="C103" s="19"/>
      <c r="D103" s="18" t="str">
        <f>IF(C103="","",IFERROR(INDEX('Cấu hình'!$C$7:$C$16,MATCH(C103,'Cấu hình'!$B$7:$B$16,0)),""))</f>
        <v/>
      </c>
      <c r="E103" s="19"/>
      <c r="F103" s="19"/>
      <c r="G103" s="19"/>
      <c r="H103" s="19"/>
    </row>
    <row r="104" spans="1:8" x14ac:dyDescent="0.3">
      <c r="A104" s="24"/>
      <c r="B104" s="18" t="e">
        <f>IF(OR(A104="",'Cấu hình'!#REF!=""),"",INT((A104-'Cấu hình'!#REF!)/7)+1)</f>
        <v>#REF!</v>
      </c>
      <c r="C104" s="19"/>
      <c r="D104" s="18" t="str">
        <f>IF(C104="","",IFERROR(INDEX('Cấu hình'!$C$7:$C$16,MATCH(C104,'Cấu hình'!$B$7:$B$16,0)),""))</f>
        <v/>
      </c>
      <c r="E104" s="19"/>
      <c r="F104" s="19"/>
      <c r="G104" s="19"/>
      <c r="H104" s="19"/>
    </row>
    <row r="105" spans="1:8" x14ac:dyDescent="0.3">
      <c r="A105" s="24"/>
      <c r="B105" s="18" t="e">
        <f>IF(OR(A105="",'Cấu hình'!#REF!=""),"",INT((A105-'Cấu hình'!#REF!)/7)+1)</f>
        <v>#REF!</v>
      </c>
      <c r="C105" s="19"/>
      <c r="D105" s="18" t="str">
        <f>IF(C105="","",IFERROR(INDEX('Cấu hình'!$C$7:$C$16,MATCH(C105,'Cấu hình'!$B$7:$B$16,0)),""))</f>
        <v/>
      </c>
      <c r="E105" s="19"/>
      <c r="F105" s="19"/>
      <c r="G105" s="19"/>
      <c r="H105" s="19"/>
    </row>
    <row r="106" spans="1:8" x14ac:dyDescent="0.3">
      <c r="A106" s="24"/>
      <c r="B106" s="18" t="e">
        <f>IF(OR(A106="",'Cấu hình'!#REF!=""),"",INT((A106-'Cấu hình'!#REF!)/7)+1)</f>
        <v>#REF!</v>
      </c>
      <c r="C106" s="19"/>
      <c r="D106" s="18" t="str">
        <f>IF(C106="","",IFERROR(INDEX('Cấu hình'!$C$7:$C$16,MATCH(C106,'Cấu hình'!$B$7:$B$16,0)),""))</f>
        <v/>
      </c>
      <c r="E106" s="19"/>
      <c r="F106" s="19"/>
      <c r="G106" s="19"/>
      <c r="H106" s="19"/>
    </row>
    <row r="107" spans="1:8" x14ac:dyDescent="0.3">
      <c r="A107" s="24"/>
      <c r="B107" s="18" t="e">
        <f>IF(OR(A107="",'Cấu hình'!#REF!=""),"",INT((A107-'Cấu hình'!#REF!)/7)+1)</f>
        <v>#REF!</v>
      </c>
      <c r="C107" s="19"/>
      <c r="D107" s="18" t="str">
        <f>IF(C107="","",IFERROR(INDEX('Cấu hình'!$C$7:$C$16,MATCH(C107,'Cấu hình'!$B$7:$B$16,0)),""))</f>
        <v/>
      </c>
      <c r="E107" s="19"/>
      <c r="F107" s="19"/>
      <c r="G107" s="19"/>
      <c r="H107" s="19"/>
    </row>
    <row r="108" spans="1:8" x14ac:dyDescent="0.3">
      <c r="A108" s="24"/>
      <c r="B108" s="18" t="e">
        <f>IF(OR(A108="",'Cấu hình'!#REF!=""),"",INT((A108-'Cấu hình'!#REF!)/7)+1)</f>
        <v>#REF!</v>
      </c>
      <c r="C108" s="19"/>
      <c r="D108" s="18" t="str">
        <f>IF(C108="","",IFERROR(INDEX('Cấu hình'!$C$7:$C$16,MATCH(C108,'Cấu hình'!$B$7:$B$16,0)),""))</f>
        <v/>
      </c>
      <c r="E108" s="19"/>
      <c r="F108" s="19"/>
      <c r="G108" s="19"/>
      <c r="H108" s="19"/>
    </row>
    <row r="109" spans="1:8" x14ac:dyDescent="0.3">
      <c r="A109" s="24"/>
      <c r="B109" s="18" t="e">
        <f>IF(OR(A109="",'Cấu hình'!#REF!=""),"",INT((A109-'Cấu hình'!#REF!)/7)+1)</f>
        <v>#REF!</v>
      </c>
      <c r="C109" s="19"/>
      <c r="D109" s="18" t="str">
        <f>IF(C109="","",IFERROR(INDEX('Cấu hình'!$C$7:$C$16,MATCH(C109,'Cấu hình'!$B$7:$B$16,0)),""))</f>
        <v/>
      </c>
      <c r="E109" s="19"/>
      <c r="F109" s="19"/>
      <c r="G109" s="19"/>
      <c r="H109" s="19"/>
    </row>
    <row r="110" spans="1:8" x14ac:dyDescent="0.3">
      <c r="A110" s="24"/>
      <c r="B110" s="18" t="e">
        <f>IF(OR(A110="",'Cấu hình'!#REF!=""),"",INT((A110-'Cấu hình'!#REF!)/7)+1)</f>
        <v>#REF!</v>
      </c>
      <c r="C110" s="19"/>
      <c r="D110" s="18" t="str">
        <f>IF(C110="","",IFERROR(INDEX('Cấu hình'!$C$7:$C$16,MATCH(C110,'Cấu hình'!$B$7:$B$16,0)),""))</f>
        <v/>
      </c>
      <c r="E110" s="19"/>
      <c r="F110" s="19"/>
      <c r="G110" s="19"/>
      <c r="H110" s="19"/>
    </row>
    <row r="111" spans="1:8" x14ac:dyDescent="0.3">
      <c r="A111" s="24"/>
      <c r="B111" s="18" t="e">
        <f>IF(OR(A111="",'Cấu hình'!#REF!=""),"",INT((A111-'Cấu hình'!#REF!)/7)+1)</f>
        <v>#REF!</v>
      </c>
      <c r="C111" s="19"/>
      <c r="D111" s="18" t="str">
        <f>IF(C111="","",IFERROR(INDEX('Cấu hình'!$C$7:$C$16,MATCH(C111,'Cấu hình'!$B$7:$B$16,0)),""))</f>
        <v/>
      </c>
      <c r="E111" s="19"/>
      <c r="F111" s="19"/>
      <c r="G111" s="19"/>
      <c r="H111" s="19"/>
    </row>
    <row r="112" spans="1:8" x14ac:dyDescent="0.3">
      <c r="A112" s="24"/>
      <c r="B112" s="18" t="e">
        <f>IF(OR(A112="",'Cấu hình'!#REF!=""),"",INT((A112-'Cấu hình'!#REF!)/7)+1)</f>
        <v>#REF!</v>
      </c>
      <c r="C112" s="19"/>
      <c r="D112" s="18" t="str">
        <f>IF(C112="","",IFERROR(INDEX('Cấu hình'!$C$7:$C$16,MATCH(C112,'Cấu hình'!$B$7:$B$16,0)),""))</f>
        <v/>
      </c>
      <c r="E112" s="19"/>
      <c r="F112" s="19"/>
      <c r="G112" s="19"/>
      <c r="H112" s="19"/>
    </row>
    <row r="113" spans="1:8" x14ac:dyDescent="0.3">
      <c r="A113" s="24"/>
      <c r="B113" s="18" t="e">
        <f>IF(OR(A113="",'Cấu hình'!#REF!=""),"",INT((A113-'Cấu hình'!#REF!)/7)+1)</f>
        <v>#REF!</v>
      </c>
      <c r="C113" s="19"/>
      <c r="D113" s="18" t="str">
        <f>IF(C113="","",IFERROR(INDEX('Cấu hình'!$C$7:$C$16,MATCH(C113,'Cấu hình'!$B$7:$B$16,0)),""))</f>
        <v/>
      </c>
      <c r="E113" s="19"/>
      <c r="F113" s="19"/>
      <c r="G113" s="19"/>
      <c r="H113" s="19"/>
    </row>
    <row r="114" spans="1:8" x14ac:dyDescent="0.3">
      <c r="A114" s="24"/>
      <c r="B114" s="18" t="e">
        <f>IF(OR(A114="",'Cấu hình'!#REF!=""),"",INT((A114-'Cấu hình'!#REF!)/7)+1)</f>
        <v>#REF!</v>
      </c>
      <c r="C114" s="19"/>
      <c r="D114" s="18" t="str">
        <f>IF(C114="","",IFERROR(INDEX('Cấu hình'!$C$7:$C$16,MATCH(C114,'Cấu hình'!$B$7:$B$16,0)),""))</f>
        <v/>
      </c>
      <c r="E114" s="19"/>
      <c r="F114" s="19"/>
      <c r="G114" s="19"/>
      <c r="H114" s="19"/>
    </row>
    <row r="115" spans="1:8" x14ac:dyDescent="0.3">
      <c r="A115" s="24"/>
      <c r="B115" s="18" t="e">
        <f>IF(OR(A115="",'Cấu hình'!#REF!=""),"",INT((A115-'Cấu hình'!#REF!)/7)+1)</f>
        <v>#REF!</v>
      </c>
      <c r="C115" s="19"/>
      <c r="D115" s="18" t="str">
        <f>IF(C115="","",IFERROR(INDEX('Cấu hình'!$C$7:$C$16,MATCH(C115,'Cấu hình'!$B$7:$B$16,0)),""))</f>
        <v/>
      </c>
      <c r="E115" s="19"/>
      <c r="F115" s="19"/>
      <c r="G115" s="19"/>
      <c r="H115" s="19"/>
    </row>
    <row r="116" spans="1:8" x14ac:dyDescent="0.3">
      <c r="A116" s="24"/>
      <c r="B116" s="18" t="e">
        <f>IF(OR(A116="",'Cấu hình'!#REF!=""),"",INT((A116-'Cấu hình'!#REF!)/7)+1)</f>
        <v>#REF!</v>
      </c>
      <c r="C116" s="19"/>
      <c r="D116" s="18" t="str">
        <f>IF(C116="","",IFERROR(INDEX('Cấu hình'!$C$7:$C$16,MATCH(C116,'Cấu hình'!$B$7:$B$16,0)),""))</f>
        <v/>
      </c>
      <c r="E116" s="19"/>
      <c r="F116" s="19"/>
      <c r="G116" s="19"/>
      <c r="H116" s="19"/>
    </row>
    <row r="117" spans="1:8" x14ac:dyDescent="0.3">
      <c r="A117" s="24"/>
      <c r="B117" s="18" t="e">
        <f>IF(OR(A117="",'Cấu hình'!#REF!=""),"",INT((A117-'Cấu hình'!#REF!)/7)+1)</f>
        <v>#REF!</v>
      </c>
      <c r="C117" s="19"/>
      <c r="D117" s="18" t="str">
        <f>IF(C117="","",IFERROR(INDEX('Cấu hình'!$C$7:$C$16,MATCH(C117,'Cấu hình'!$B$7:$B$16,0)),""))</f>
        <v/>
      </c>
      <c r="E117" s="19"/>
      <c r="F117" s="19"/>
      <c r="G117" s="19"/>
      <c r="H117" s="19"/>
    </row>
    <row r="118" spans="1:8" x14ac:dyDescent="0.3">
      <c r="A118" s="24"/>
      <c r="B118" s="18" t="e">
        <f>IF(OR(A118="",'Cấu hình'!#REF!=""),"",INT((A118-'Cấu hình'!#REF!)/7)+1)</f>
        <v>#REF!</v>
      </c>
      <c r="C118" s="19"/>
      <c r="D118" s="18" t="str">
        <f>IF(C118="","",IFERROR(INDEX('Cấu hình'!$C$7:$C$16,MATCH(C118,'Cấu hình'!$B$7:$B$16,0)),""))</f>
        <v/>
      </c>
      <c r="E118" s="19"/>
      <c r="F118" s="19"/>
      <c r="G118" s="19"/>
      <c r="H118" s="19"/>
    </row>
    <row r="119" spans="1:8" x14ac:dyDescent="0.3">
      <c r="A119" s="24"/>
      <c r="B119" s="18" t="e">
        <f>IF(OR(A119="",'Cấu hình'!#REF!=""),"",INT((A119-'Cấu hình'!#REF!)/7)+1)</f>
        <v>#REF!</v>
      </c>
      <c r="C119" s="19"/>
      <c r="D119" s="18" t="str">
        <f>IF(C119="","",IFERROR(INDEX('Cấu hình'!$C$7:$C$16,MATCH(C119,'Cấu hình'!$B$7:$B$16,0)),""))</f>
        <v/>
      </c>
      <c r="E119" s="19"/>
      <c r="F119" s="19"/>
      <c r="G119" s="19"/>
      <c r="H119" s="19"/>
    </row>
    <row r="120" spans="1:8" x14ac:dyDescent="0.3">
      <c r="A120" s="24"/>
      <c r="B120" s="18" t="e">
        <f>IF(OR(A120="",'Cấu hình'!#REF!=""),"",INT((A120-'Cấu hình'!#REF!)/7)+1)</f>
        <v>#REF!</v>
      </c>
      <c r="C120" s="19"/>
      <c r="D120" s="18" t="str">
        <f>IF(C120="","",IFERROR(INDEX('Cấu hình'!$C$7:$C$16,MATCH(C120,'Cấu hình'!$B$7:$B$16,0)),""))</f>
        <v/>
      </c>
      <c r="E120" s="19"/>
      <c r="F120" s="19"/>
      <c r="G120" s="19"/>
      <c r="H120" s="19"/>
    </row>
    <row r="121" spans="1:8" x14ac:dyDescent="0.3">
      <c r="A121" s="24"/>
      <c r="B121" s="18" t="e">
        <f>IF(OR(A121="",'Cấu hình'!#REF!=""),"",INT((A121-'Cấu hình'!#REF!)/7)+1)</f>
        <v>#REF!</v>
      </c>
      <c r="C121" s="19"/>
      <c r="D121" s="18" t="str">
        <f>IF(C121="","",IFERROR(INDEX('Cấu hình'!$C$7:$C$16,MATCH(C121,'Cấu hình'!$B$7:$B$16,0)),""))</f>
        <v/>
      </c>
      <c r="E121" s="19"/>
      <c r="F121" s="19"/>
      <c r="G121" s="19"/>
      <c r="H121" s="19"/>
    </row>
    <row r="122" spans="1:8" x14ac:dyDescent="0.3">
      <c r="A122" s="24"/>
      <c r="B122" s="18" t="e">
        <f>IF(OR(A122="",'Cấu hình'!#REF!=""),"",INT((A122-'Cấu hình'!#REF!)/7)+1)</f>
        <v>#REF!</v>
      </c>
      <c r="C122" s="19"/>
      <c r="D122" s="18" t="str">
        <f>IF(C122="","",IFERROR(INDEX('Cấu hình'!$C$7:$C$16,MATCH(C122,'Cấu hình'!$B$7:$B$16,0)),""))</f>
        <v/>
      </c>
      <c r="E122" s="19"/>
      <c r="F122" s="19"/>
      <c r="G122" s="19"/>
      <c r="H122" s="19"/>
    </row>
    <row r="123" spans="1:8" x14ac:dyDescent="0.3">
      <c r="A123" s="24"/>
      <c r="B123" s="18" t="e">
        <f>IF(OR(A123="",'Cấu hình'!#REF!=""),"",INT((A123-'Cấu hình'!#REF!)/7)+1)</f>
        <v>#REF!</v>
      </c>
      <c r="C123" s="19"/>
      <c r="D123" s="18" t="str">
        <f>IF(C123="","",IFERROR(INDEX('Cấu hình'!$C$7:$C$16,MATCH(C123,'Cấu hình'!$B$7:$B$16,0)),""))</f>
        <v/>
      </c>
      <c r="E123" s="19"/>
      <c r="F123" s="19"/>
      <c r="G123" s="19"/>
      <c r="H123" s="19"/>
    </row>
    <row r="124" spans="1:8" x14ac:dyDescent="0.3">
      <c r="A124" s="24"/>
      <c r="B124" s="18" t="e">
        <f>IF(OR(A124="",'Cấu hình'!#REF!=""),"",INT((A124-'Cấu hình'!#REF!)/7)+1)</f>
        <v>#REF!</v>
      </c>
      <c r="C124" s="19"/>
      <c r="D124" s="18" t="str">
        <f>IF(C124="","",IFERROR(INDEX('Cấu hình'!$C$7:$C$16,MATCH(C124,'Cấu hình'!$B$7:$B$16,0)),""))</f>
        <v/>
      </c>
      <c r="E124" s="19"/>
      <c r="F124" s="19"/>
      <c r="G124" s="19"/>
      <c r="H124" s="19"/>
    </row>
    <row r="125" spans="1:8" x14ac:dyDescent="0.3">
      <c r="A125" s="24"/>
      <c r="B125" s="18" t="e">
        <f>IF(OR(A125="",'Cấu hình'!#REF!=""),"",INT((A125-'Cấu hình'!#REF!)/7)+1)</f>
        <v>#REF!</v>
      </c>
      <c r="C125" s="19"/>
      <c r="D125" s="18" t="str">
        <f>IF(C125="","",IFERROR(INDEX('Cấu hình'!$C$7:$C$16,MATCH(C125,'Cấu hình'!$B$7:$B$16,0)),""))</f>
        <v/>
      </c>
      <c r="E125" s="19"/>
      <c r="F125" s="19"/>
      <c r="G125" s="19"/>
      <c r="H125" s="19"/>
    </row>
    <row r="126" spans="1:8" x14ac:dyDescent="0.3">
      <c r="A126" s="24"/>
      <c r="B126" s="18" t="e">
        <f>IF(OR(A126="",'Cấu hình'!#REF!=""),"",INT((A126-'Cấu hình'!#REF!)/7)+1)</f>
        <v>#REF!</v>
      </c>
      <c r="C126" s="19"/>
      <c r="D126" s="18" t="str">
        <f>IF(C126="","",IFERROR(INDEX('Cấu hình'!$C$7:$C$16,MATCH(C126,'Cấu hình'!$B$7:$B$16,0)),""))</f>
        <v/>
      </c>
      <c r="E126" s="19"/>
      <c r="F126" s="19"/>
      <c r="G126" s="19"/>
      <c r="H126" s="19"/>
    </row>
    <row r="127" spans="1:8" x14ac:dyDescent="0.3">
      <c r="A127" s="24"/>
      <c r="B127" s="18" t="e">
        <f>IF(OR(A127="",'Cấu hình'!#REF!=""),"",INT((A127-'Cấu hình'!#REF!)/7)+1)</f>
        <v>#REF!</v>
      </c>
      <c r="C127" s="19"/>
      <c r="D127" s="18" t="str">
        <f>IF(C127="","",IFERROR(INDEX('Cấu hình'!$C$7:$C$16,MATCH(C127,'Cấu hình'!$B$7:$B$16,0)),""))</f>
        <v/>
      </c>
      <c r="E127" s="19"/>
      <c r="F127" s="19"/>
      <c r="G127" s="19"/>
      <c r="H127" s="19"/>
    </row>
    <row r="128" spans="1:8" x14ac:dyDescent="0.3">
      <c r="A128" s="24"/>
      <c r="B128" s="18" t="e">
        <f>IF(OR(A128="",'Cấu hình'!#REF!=""),"",INT((A128-'Cấu hình'!#REF!)/7)+1)</f>
        <v>#REF!</v>
      </c>
      <c r="C128" s="19"/>
      <c r="D128" s="18" t="str">
        <f>IF(C128="","",IFERROR(INDEX('Cấu hình'!$C$7:$C$16,MATCH(C128,'Cấu hình'!$B$7:$B$16,0)),""))</f>
        <v/>
      </c>
      <c r="E128" s="19"/>
      <c r="F128" s="19"/>
      <c r="G128" s="19"/>
      <c r="H128" s="19"/>
    </row>
    <row r="129" spans="1:8" x14ac:dyDescent="0.3">
      <c r="A129" s="24"/>
      <c r="B129" s="18" t="e">
        <f>IF(OR(A129="",'Cấu hình'!#REF!=""),"",INT((A129-'Cấu hình'!#REF!)/7)+1)</f>
        <v>#REF!</v>
      </c>
      <c r="C129" s="19"/>
      <c r="D129" s="18" t="str">
        <f>IF(C129="","",IFERROR(INDEX('Cấu hình'!$C$7:$C$16,MATCH(C129,'Cấu hình'!$B$7:$B$16,0)),""))</f>
        <v/>
      </c>
      <c r="E129" s="19"/>
      <c r="F129" s="19"/>
      <c r="G129" s="19"/>
      <c r="H129" s="19"/>
    </row>
    <row r="130" spans="1:8" x14ac:dyDescent="0.3">
      <c r="A130" s="24"/>
      <c r="B130" s="18" t="e">
        <f>IF(OR(A130="",'Cấu hình'!#REF!=""),"",INT((A130-'Cấu hình'!#REF!)/7)+1)</f>
        <v>#REF!</v>
      </c>
      <c r="C130" s="19"/>
      <c r="D130" s="18" t="str">
        <f>IF(C130="","",IFERROR(INDEX('Cấu hình'!$C$7:$C$16,MATCH(C130,'Cấu hình'!$B$7:$B$16,0)),""))</f>
        <v/>
      </c>
      <c r="E130" s="19"/>
      <c r="F130" s="19"/>
      <c r="G130" s="19"/>
      <c r="H130" s="19"/>
    </row>
    <row r="131" spans="1:8" x14ac:dyDescent="0.3">
      <c r="A131" s="24"/>
      <c r="B131" s="18" t="e">
        <f>IF(OR(A131="",'Cấu hình'!#REF!=""),"",INT((A131-'Cấu hình'!#REF!)/7)+1)</f>
        <v>#REF!</v>
      </c>
      <c r="C131" s="19"/>
      <c r="D131" s="18" t="str">
        <f>IF(C131="","",IFERROR(INDEX('Cấu hình'!$C$7:$C$16,MATCH(C131,'Cấu hình'!$B$7:$B$16,0)),""))</f>
        <v/>
      </c>
      <c r="E131" s="19"/>
      <c r="F131" s="19"/>
      <c r="G131" s="19"/>
      <c r="H131" s="19"/>
    </row>
    <row r="132" spans="1:8" x14ac:dyDescent="0.3">
      <c r="A132" s="24"/>
      <c r="B132" s="18" t="e">
        <f>IF(OR(A132="",'Cấu hình'!#REF!=""),"",INT((A132-'Cấu hình'!#REF!)/7)+1)</f>
        <v>#REF!</v>
      </c>
      <c r="C132" s="19"/>
      <c r="D132" s="18" t="str">
        <f>IF(C132="","",IFERROR(INDEX('Cấu hình'!$C$7:$C$16,MATCH(C132,'Cấu hình'!$B$7:$B$16,0)),""))</f>
        <v/>
      </c>
      <c r="E132" s="19"/>
      <c r="F132" s="19"/>
      <c r="G132" s="19"/>
      <c r="H132" s="19"/>
    </row>
    <row r="133" spans="1:8" x14ac:dyDescent="0.3">
      <c r="A133" s="24"/>
      <c r="B133" s="18" t="e">
        <f>IF(OR(A133="",'Cấu hình'!#REF!=""),"",INT((A133-'Cấu hình'!#REF!)/7)+1)</f>
        <v>#REF!</v>
      </c>
      <c r="C133" s="19"/>
      <c r="D133" s="18" t="str">
        <f>IF(C133="","",IFERROR(INDEX('Cấu hình'!$C$7:$C$16,MATCH(C133,'Cấu hình'!$B$7:$B$16,0)),""))</f>
        <v/>
      </c>
      <c r="E133" s="19"/>
      <c r="F133" s="19"/>
      <c r="G133" s="19"/>
      <c r="H133" s="19"/>
    </row>
    <row r="134" spans="1:8" x14ac:dyDescent="0.3">
      <c r="A134" s="24"/>
      <c r="B134" s="18" t="e">
        <f>IF(OR(A134="",'Cấu hình'!#REF!=""),"",INT((A134-'Cấu hình'!#REF!)/7)+1)</f>
        <v>#REF!</v>
      </c>
      <c r="C134" s="19"/>
      <c r="D134" s="18" t="str">
        <f>IF(C134="","",IFERROR(INDEX('Cấu hình'!$C$7:$C$16,MATCH(C134,'Cấu hình'!$B$7:$B$16,0)),""))</f>
        <v/>
      </c>
      <c r="E134" s="19"/>
      <c r="F134" s="19"/>
      <c r="G134" s="19"/>
      <c r="H134" s="19"/>
    </row>
    <row r="135" spans="1:8" x14ac:dyDescent="0.3">
      <c r="A135" s="24"/>
      <c r="B135" s="18" t="e">
        <f>IF(OR(A135="",'Cấu hình'!#REF!=""),"",INT((A135-'Cấu hình'!#REF!)/7)+1)</f>
        <v>#REF!</v>
      </c>
      <c r="C135" s="19"/>
      <c r="D135" s="18" t="str">
        <f>IF(C135="","",IFERROR(INDEX('Cấu hình'!$C$7:$C$16,MATCH(C135,'Cấu hình'!$B$7:$B$16,0)),""))</f>
        <v/>
      </c>
      <c r="E135" s="19"/>
      <c r="F135" s="19"/>
      <c r="G135" s="19"/>
      <c r="H135" s="19"/>
    </row>
    <row r="136" spans="1:8" x14ac:dyDescent="0.3">
      <c r="A136" s="24"/>
      <c r="B136" s="18" t="e">
        <f>IF(OR(A136="",'Cấu hình'!#REF!=""),"",INT((A136-'Cấu hình'!#REF!)/7)+1)</f>
        <v>#REF!</v>
      </c>
      <c r="C136" s="19"/>
      <c r="D136" s="18" t="str">
        <f>IF(C136="","",IFERROR(INDEX('Cấu hình'!$C$7:$C$16,MATCH(C136,'Cấu hình'!$B$7:$B$16,0)),""))</f>
        <v/>
      </c>
      <c r="E136" s="19"/>
      <c r="F136" s="19"/>
      <c r="G136" s="19"/>
      <c r="H136" s="19"/>
    </row>
    <row r="137" spans="1:8" x14ac:dyDescent="0.3">
      <c r="A137" s="24"/>
      <c r="B137" s="18" t="e">
        <f>IF(OR(A137="",'Cấu hình'!#REF!=""),"",INT((A137-'Cấu hình'!#REF!)/7)+1)</f>
        <v>#REF!</v>
      </c>
      <c r="C137" s="19"/>
      <c r="D137" s="18" t="str">
        <f>IF(C137="","",IFERROR(INDEX('Cấu hình'!$C$7:$C$16,MATCH(C137,'Cấu hình'!$B$7:$B$16,0)),""))</f>
        <v/>
      </c>
      <c r="E137" s="19"/>
      <c r="F137" s="19"/>
      <c r="G137" s="19"/>
      <c r="H137" s="19"/>
    </row>
    <row r="138" spans="1:8" x14ac:dyDescent="0.3">
      <c r="A138" s="24"/>
      <c r="B138" s="18" t="e">
        <f>IF(OR(A138="",'Cấu hình'!#REF!=""),"",INT((A138-'Cấu hình'!#REF!)/7)+1)</f>
        <v>#REF!</v>
      </c>
      <c r="C138" s="19"/>
      <c r="D138" s="18" t="str">
        <f>IF(C138="","",IFERROR(INDEX('Cấu hình'!$C$7:$C$16,MATCH(C138,'Cấu hình'!$B$7:$B$16,0)),""))</f>
        <v/>
      </c>
      <c r="E138" s="19"/>
      <c r="F138" s="19"/>
      <c r="G138" s="19"/>
      <c r="H138" s="19"/>
    </row>
    <row r="139" spans="1:8" x14ac:dyDescent="0.3">
      <c r="A139" s="24"/>
      <c r="B139" s="18" t="e">
        <f>IF(OR(A139="",'Cấu hình'!#REF!=""),"",INT((A139-'Cấu hình'!#REF!)/7)+1)</f>
        <v>#REF!</v>
      </c>
      <c r="C139" s="19"/>
      <c r="D139" s="18" t="str">
        <f>IF(C139="","",IFERROR(INDEX('Cấu hình'!$C$7:$C$16,MATCH(C139,'Cấu hình'!$B$7:$B$16,0)),""))</f>
        <v/>
      </c>
      <c r="E139" s="19"/>
      <c r="F139" s="19"/>
      <c r="G139" s="19"/>
      <c r="H139" s="19"/>
    </row>
    <row r="140" spans="1:8" x14ac:dyDescent="0.3">
      <c r="A140" s="24"/>
      <c r="B140" s="18" t="e">
        <f>IF(OR(A140="",'Cấu hình'!#REF!=""),"",INT((A140-'Cấu hình'!#REF!)/7)+1)</f>
        <v>#REF!</v>
      </c>
      <c r="C140" s="19"/>
      <c r="D140" s="18" t="str">
        <f>IF(C140="","",IFERROR(INDEX('Cấu hình'!$C$7:$C$16,MATCH(C140,'Cấu hình'!$B$7:$B$16,0)),""))</f>
        <v/>
      </c>
      <c r="E140" s="19"/>
      <c r="F140" s="19"/>
      <c r="G140" s="19"/>
      <c r="H140" s="19"/>
    </row>
    <row r="141" spans="1:8" x14ac:dyDescent="0.3">
      <c r="A141" s="24"/>
      <c r="B141" s="18" t="e">
        <f>IF(OR(A141="",'Cấu hình'!#REF!=""),"",INT((A141-'Cấu hình'!#REF!)/7)+1)</f>
        <v>#REF!</v>
      </c>
      <c r="C141" s="19"/>
      <c r="D141" s="18" t="str">
        <f>IF(C141="","",IFERROR(INDEX('Cấu hình'!$C$7:$C$16,MATCH(C141,'Cấu hình'!$B$7:$B$16,0)),""))</f>
        <v/>
      </c>
      <c r="E141" s="19"/>
      <c r="F141" s="19"/>
      <c r="G141" s="19"/>
      <c r="H141" s="19"/>
    </row>
    <row r="142" spans="1:8" x14ac:dyDescent="0.3">
      <c r="A142" s="24"/>
      <c r="B142" s="18" t="e">
        <f>IF(OR(A142="",'Cấu hình'!#REF!=""),"",INT((A142-'Cấu hình'!#REF!)/7)+1)</f>
        <v>#REF!</v>
      </c>
      <c r="C142" s="19"/>
      <c r="D142" s="18" t="str">
        <f>IF(C142="","",IFERROR(INDEX('Cấu hình'!$C$7:$C$16,MATCH(C142,'Cấu hình'!$B$7:$B$16,0)),""))</f>
        <v/>
      </c>
      <c r="E142" s="19"/>
      <c r="F142" s="19"/>
      <c r="G142" s="19"/>
      <c r="H142" s="19"/>
    </row>
    <row r="143" spans="1:8" x14ac:dyDescent="0.3">
      <c r="A143" s="24"/>
      <c r="B143" s="18" t="e">
        <f>IF(OR(A143="",'Cấu hình'!#REF!=""),"",INT((A143-'Cấu hình'!#REF!)/7)+1)</f>
        <v>#REF!</v>
      </c>
      <c r="C143" s="19"/>
      <c r="D143" s="18" t="str">
        <f>IF(C143="","",IFERROR(INDEX('Cấu hình'!$C$7:$C$16,MATCH(C143,'Cấu hình'!$B$7:$B$16,0)),""))</f>
        <v/>
      </c>
      <c r="E143" s="19"/>
      <c r="F143" s="19"/>
      <c r="G143" s="19"/>
      <c r="H143" s="19"/>
    </row>
    <row r="144" spans="1:8" x14ac:dyDescent="0.3">
      <c r="A144" s="24"/>
      <c r="B144" s="18" t="e">
        <f>IF(OR(A144="",'Cấu hình'!#REF!=""),"",INT((A144-'Cấu hình'!#REF!)/7)+1)</f>
        <v>#REF!</v>
      </c>
      <c r="C144" s="19"/>
      <c r="D144" s="18" t="str">
        <f>IF(C144="","",IFERROR(INDEX('Cấu hình'!$C$7:$C$16,MATCH(C144,'Cấu hình'!$B$7:$B$16,0)),""))</f>
        <v/>
      </c>
      <c r="E144" s="19"/>
      <c r="F144" s="19"/>
      <c r="G144" s="19"/>
      <c r="H144" s="19"/>
    </row>
    <row r="145" spans="1:8" x14ac:dyDescent="0.3">
      <c r="A145" s="24"/>
      <c r="B145" s="18" t="e">
        <f>IF(OR(A145="",'Cấu hình'!#REF!=""),"",INT((A145-'Cấu hình'!#REF!)/7)+1)</f>
        <v>#REF!</v>
      </c>
      <c r="C145" s="19"/>
      <c r="D145" s="18" t="str">
        <f>IF(C145="","",IFERROR(INDEX('Cấu hình'!$C$7:$C$16,MATCH(C145,'Cấu hình'!$B$7:$B$16,0)),""))</f>
        <v/>
      </c>
      <c r="E145" s="19"/>
      <c r="F145" s="19"/>
      <c r="G145" s="19"/>
      <c r="H145" s="19"/>
    </row>
    <row r="146" spans="1:8" x14ac:dyDescent="0.3">
      <c r="A146" s="24"/>
      <c r="B146" s="18" t="e">
        <f>IF(OR(A146="",'Cấu hình'!#REF!=""),"",INT((A146-'Cấu hình'!#REF!)/7)+1)</f>
        <v>#REF!</v>
      </c>
      <c r="C146" s="19"/>
      <c r="D146" s="18" t="str">
        <f>IF(C146="","",IFERROR(INDEX('Cấu hình'!$C$7:$C$16,MATCH(C146,'Cấu hình'!$B$7:$B$16,0)),""))</f>
        <v/>
      </c>
      <c r="E146" s="19"/>
      <c r="F146" s="19"/>
      <c r="G146" s="19"/>
      <c r="H146" s="19"/>
    </row>
    <row r="147" spans="1:8" x14ac:dyDescent="0.3">
      <c r="A147" s="24"/>
      <c r="B147" s="18" t="e">
        <f>IF(OR(A147="",'Cấu hình'!#REF!=""),"",INT((A147-'Cấu hình'!#REF!)/7)+1)</f>
        <v>#REF!</v>
      </c>
      <c r="C147" s="19"/>
      <c r="D147" s="18" t="str">
        <f>IF(C147="","",IFERROR(INDEX('Cấu hình'!$C$7:$C$16,MATCH(C147,'Cấu hình'!$B$7:$B$16,0)),""))</f>
        <v/>
      </c>
      <c r="E147" s="19"/>
      <c r="F147" s="19"/>
      <c r="G147" s="19"/>
      <c r="H147" s="19"/>
    </row>
    <row r="148" spans="1:8" x14ac:dyDescent="0.3">
      <c r="A148" s="24"/>
      <c r="B148" s="18" t="e">
        <f>IF(OR(A148="",'Cấu hình'!#REF!=""),"",INT((A148-'Cấu hình'!#REF!)/7)+1)</f>
        <v>#REF!</v>
      </c>
      <c r="C148" s="19"/>
      <c r="D148" s="18" t="str">
        <f>IF(C148="","",IFERROR(INDEX('Cấu hình'!$C$7:$C$16,MATCH(C148,'Cấu hình'!$B$7:$B$16,0)),""))</f>
        <v/>
      </c>
      <c r="E148" s="19"/>
      <c r="F148" s="19"/>
      <c r="G148" s="19"/>
      <c r="H148" s="19"/>
    </row>
    <row r="149" spans="1:8" x14ac:dyDescent="0.3">
      <c r="A149" s="24"/>
      <c r="B149" s="18" t="e">
        <f>IF(OR(A149="",'Cấu hình'!#REF!=""),"",INT((A149-'Cấu hình'!#REF!)/7)+1)</f>
        <v>#REF!</v>
      </c>
      <c r="C149" s="19"/>
      <c r="D149" s="18" t="str">
        <f>IF(C149="","",IFERROR(INDEX('Cấu hình'!$C$7:$C$16,MATCH(C149,'Cấu hình'!$B$7:$B$16,0)),""))</f>
        <v/>
      </c>
      <c r="E149" s="19"/>
      <c r="F149" s="19"/>
      <c r="G149" s="19"/>
      <c r="H149" s="19"/>
    </row>
    <row r="150" spans="1:8" x14ac:dyDescent="0.3">
      <c r="A150" s="24"/>
      <c r="B150" s="18" t="e">
        <f>IF(OR(A150="",'Cấu hình'!#REF!=""),"",INT((A150-'Cấu hình'!#REF!)/7)+1)</f>
        <v>#REF!</v>
      </c>
      <c r="C150" s="19"/>
      <c r="D150" s="18" t="str">
        <f>IF(C150="","",IFERROR(INDEX('Cấu hình'!$C$7:$C$16,MATCH(C150,'Cấu hình'!$B$7:$B$16,0)),""))</f>
        <v/>
      </c>
      <c r="E150" s="19"/>
      <c r="F150" s="19"/>
      <c r="G150" s="19"/>
      <c r="H150" s="19"/>
    </row>
    <row r="151" spans="1:8" x14ac:dyDescent="0.3">
      <c r="A151" s="24"/>
      <c r="B151" s="18" t="e">
        <f>IF(OR(A151="",'Cấu hình'!#REF!=""),"",INT((A151-'Cấu hình'!#REF!)/7)+1)</f>
        <v>#REF!</v>
      </c>
      <c r="C151" s="19"/>
      <c r="D151" s="18" t="str">
        <f>IF(C151="","",IFERROR(INDEX('Cấu hình'!$C$7:$C$16,MATCH(C151,'Cấu hình'!$B$7:$B$16,0)),""))</f>
        <v/>
      </c>
      <c r="E151" s="19"/>
      <c r="F151" s="19"/>
      <c r="G151" s="19"/>
      <c r="H151" s="19"/>
    </row>
    <row r="152" spans="1:8" x14ac:dyDescent="0.3">
      <c r="A152" s="24"/>
      <c r="B152" s="18" t="e">
        <f>IF(OR(A152="",'Cấu hình'!#REF!=""),"",INT((A152-'Cấu hình'!#REF!)/7)+1)</f>
        <v>#REF!</v>
      </c>
      <c r="C152" s="19"/>
      <c r="D152" s="18" t="str">
        <f>IF(C152="","",IFERROR(INDEX('Cấu hình'!$C$7:$C$16,MATCH(C152,'Cấu hình'!$B$7:$B$16,0)),""))</f>
        <v/>
      </c>
      <c r="E152" s="19"/>
      <c r="F152" s="19"/>
      <c r="G152" s="19"/>
      <c r="H152" s="19"/>
    </row>
    <row r="153" spans="1:8" x14ac:dyDescent="0.3">
      <c r="A153" s="24"/>
      <c r="B153" s="18" t="e">
        <f>IF(OR(A153="",'Cấu hình'!#REF!=""),"",INT((A153-'Cấu hình'!#REF!)/7)+1)</f>
        <v>#REF!</v>
      </c>
      <c r="C153" s="19"/>
      <c r="D153" s="18" t="str">
        <f>IF(C153="","",IFERROR(INDEX('Cấu hình'!$C$7:$C$16,MATCH(C153,'Cấu hình'!$B$7:$B$16,0)),""))</f>
        <v/>
      </c>
      <c r="E153" s="19"/>
      <c r="F153" s="19"/>
      <c r="G153" s="19"/>
      <c r="H153" s="19"/>
    </row>
    <row r="154" spans="1:8" x14ac:dyDescent="0.3">
      <c r="A154" s="24"/>
      <c r="B154" s="18" t="e">
        <f>IF(OR(A154="",'Cấu hình'!#REF!=""),"",INT((A154-'Cấu hình'!#REF!)/7)+1)</f>
        <v>#REF!</v>
      </c>
      <c r="C154" s="19"/>
      <c r="D154" s="18" t="str">
        <f>IF(C154="","",IFERROR(INDEX('Cấu hình'!$C$7:$C$16,MATCH(C154,'Cấu hình'!$B$7:$B$16,0)),""))</f>
        <v/>
      </c>
      <c r="E154" s="19"/>
      <c r="F154" s="19"/>
      <c r="G154" s="19"/>
      <c r="H154" s="19"/>
    </row>
    <row r="155" spans="1:8" x14ac:dyDescent="0.3">
      <c r="A155" s="24"/>
      <c r="B155" s="18" t="e">
        <f>IF(OR(A155="",'Cấu hình'!#REF!=""),"",INT((A155-'Cấu hình'!#REF!)/7)+1)</f>
        <v>#REF!</v>
      </c>
      <c r="C155" s="19"/>
      <c r="D155" s="18" t="str">
        <f>IF(C155="","",IFERROR(INDEX('Cấu hình'!$C$7:$C$16,MATCH(C155,'Cấu hình'!$B$7:$B$16,0)),""))</f>
        <v/>
      </c>
      <c r="E155" s="19"/>
      <c r="F155" s="19"/>
      <c r="G155" s="19"/>
      <c r="H155" s="19"/>
    </row>
    <row r="156" spans="1:8" x14ac:dyDescent="0.3">
      <c r="A156" s="24"/>
      <c r="B156" s="18" t="e">
        <f>IF(OR(A156="",'Cấu hình'!#REF!=""),"",INT((A156-'Cấu hình'!#REF!)/7)+1)</f>
        <v>#REF!</v>
      </c>
      <c r="C156" s="19"/>
      <c r="D156" s="18" t="str">
        <f>IF(C156="","",IFERROR(INDEX('Cấu hình'!$C$7:$C$16,MATCH(C156,'Cấu hình'!$B$7:$B$16,0)),""))</f>
        <v/>
      </c>
      <c r="E156" s="19"/>
      <c r="F156" s="19"/>
      <c r="G156" s="19"/>
      <c r="H156" s="19"/>
    </row>
    <row r="157" spans="1:8" x14ac:dyDescent="0.3">
      <c r="A157" s="24"/>
      <c r="B157" s="18" t="e">
        <f>IF(OR(A157="",'Cấu hình'!#REF!=""),"",INT((A157-'Cấu hình'!#REF!)/7)+1)</f>
        <v>#REF!</v>
      </c>
      <c r="C157" s="19"/>
      <c r="D157" s="18" t="str">
        <f>IF(C157="","",IFERROR(INDEX('Cấu hình'!$C$7:$C$16,MATCH(C157,'Cấu hình'!$B$7:$B$16,0)),""))</f>
        <v/>
      </c>
      <c r="E157" s="19"/>
      <c r="F157" s="19"/>
      <c r="G157" s="19"/>
      <c r="H157" s="19"/>
    </row>
    <row r="158" spans="1:8" x14ac:dyDescent="0.3">
      <c r="A158" s="24"/>
      <c r="B158" s="18" t="e">
        <f>IF(OR(A158="",'Cấu hình'!#REF!=""),"",INT((A158-'Cấu hình'!#REF!)/7)+1)</f>
        <v>#REF!</v>
      </c>
      <c r="C158" s="19"/>
      <c r="D158" s="18" t="str">
        <f>IF(C158="","",IFERROR(INDEX('Cấu hình'!$C$7:$C$16,MATCH(C158,'Cấu hình'!$B$7:$B$16,0)),""))</f>
        <v/>
      </c>
      <c r="E158" s="19"/>
      <c r="F158" s="19"/>
      <c r="G158" s="19"/>
      <c r="H158" s="19"/>
    </row>
    <row r="159" spans="1:8" x14ac:dyDescent="0.3">
      <c r="A159" s="24"/>
      <c r="B159" s="18" t="e">
        <f>IF(OR(A159="",'Cấu hình'!#REF!=""),"",INT((A159-'Cấu hình'!#REF!)/7)+1)</f>
        <v>#REF!</v>
      </c>
      <c r="C159" s="19"/>
      <c r="D159" s="18" t="str">
        <f>IF(C159="","",IFERROR(INDEX('Cấu hình'!$C$7:$C$16,MATCH(C159,'Cấu hình'!$B$7:$B$16,0)),""))</f>
        <v/>
      </c>
      <c r="E159" s="19"/>
      <c r="F159" s="19"/>
      <c r="G159" s="19"/>
      <c r="H159" s="19"/>
    </row>
    <row r="160" spans="1:8" x14ac:dyDescent="0.3">
      <c r="A160" s="24"/>
      <c r="B160" s="18" t="e">
        <f>IF(OR(A160="",'Cấu hình'!#REF!=""),"",INT((A160-'Cấu hình'!#REF!)/7)+1)</f>
        <v>#REF!</v>
      </c>
      <c r="C160" s="19"/>
      <c r="D160" s="18" t="str">
        <f>IF(C160="","",IFERROR(INDEX('Cấu hình'!$C$7:$C$16,MATCH(C160,'Cấu hình'!$B$7:$B$16,0)),""))</f>
        <v/>
      </c>
      <c r="E160" s="19"/>
      <c r="F160" s="19"/>
      <c r="G160" s="19"/>
      <c r="H160" s="19"/>
    </row>
    <row r="161" spans="1:8" x14ac:dyDescent="0.3">
      <c r="A161" s="24"/>
      <c r="B161" s="18" t="e">
        <f>IF(OR(A161="",'Cấu hình'!#REF!=""),"",INT((A161-'Cấu hình'!#REF!)/7)+1)</f>
        <v>#REF!</v>
      </c>
      <c r="C161" s="19"/>
      <c r="D161" s="18" t="str">
        <f>IF(C161="","",IFERROR(INDEX('Cấu hình'!$C$7:$C$16,MATCH(C161,'Cấu hình'!$B$7:$B$16,0)),""))</f>
        <v/>
      </c>
      <c r="E161" s="19"/>
      <c r="F161" s="19"/>
      <c r="G161" s="19"/>
      <c r="H161" s="19"/>
    </row>
    <row r="162" spans="1:8" x14ac:dyDescent="0.3">
      <c r="A162" s="24"/>
      <c r="B162" s="18" t="e">
        <f>IF(OR(A162="",'Cấu hình'!#REF!=""),"",INT((A162-'Cấu hình'!#REF!)/7)+1)</f>
        <v>#REF!</v>
      </c>
      <c r="C162" s="19"/>
      <c r="D162" s="18" t="str">
        <f>IF(C162="","",IFERROR(INDEX('Cấu hình'!$C$7:$C$16,MATCH(C162,'Cấu hình'!$B$7:$B$16,0)),""))</f>
        <v/>
      </c>
      <c r="E162" s="19"/>
      <c r="F162" s="19"/>
      <c r="G162" s="19"/>
      <c r="H162" s="19"/>
    </row>
    <row r="163" spans="1:8" x14ac:dyDescent="0.3">
      <c r="A163" s="24"/>
      <c r="B163" s="18" t="e">
        <f>IF(OR(A163="",'Cấu hình'!#REF!=""),"",INT((A163-'Cấu hình'!#REF!)/7)+1)</f>
        <v>#REF!</v>
      </c>
      <c r="C163" s="19"/>
      <c r="D163" s="18" t="str">
        <f>IF(C163="","",IFERROR(INDEX('Cấu hình'!$C$7:$C$16,MATCH(C163,'Cấu hình'!$B$7:$B$16,0)),""))</f>
        <v/>
      </c>
      <c r="E163" s="19"/>
      <c r="F163" s="19"/>
      <c r="G163" s="19"/>
      <c r="H163" s="19"/>
    </row>
    <row r="164" spans="1:8" x14ac:dyDescent="0.3">
      <c r="A164" s="24"/>
      <c r="B164" s="18" t="e">
        <f>IF(OR(A164="",'Cấu hình'!#REF!=""),"",INT((A164-'Cấu hình'!#REF!)/7)+1)</f>
        <v>#REF!</v>
      </c>
      <c r="C164" s="19"/>
      <c r="D164" s="18" t="str">
        <f>IF(C164="","",IFERROR(INDEX('Cấu hình'!$C$7:$C$16,MATCH(C164,'Cấu hình'!$B$7:$B$16,0)),""))</f>
        <v/>
      </c>
      <c r="E164" s="19"/>
      <c r="F164" s="19"/>
      <c r="G164" s="19"/>
      <c r="H164" s="19"/>
    </row>
    <row r="165" spans="1:8" x14ac:dyDescent="0.3">
      <c r="A165" s="24"/>
      <c r="B165" s="18" t="e">
        <f>IF(OR(A165="",'Cấu hình'!#REF!=""),"",INT((A165-'Cấu hình'!#REF!)/7)+1)</f>
        <v>#REF!</v>
      </c>
      <c r="C165" s="19"/>
      <c r="D165" s="18" t="str">
        <f>IF(C165="","",IFERROR(INDEX('Cấu hình'!$C$7:$C$16,MATCH(C165,'Cấu hình'!$B$7:$B$16,0)),""))</f>
        <v/>
      </c>
      <c r="E165" s="19"/>
      <c r="F165" s="19"/>
      <c r="G165" s="19"/>
      <c r="H165" s="19"/>
    </row>
    <row r="166" spans="1:8" x14ac:dyDescent="0.3">
      <c r="A166" s="24"/>
      <c r="B166" s="18" t="e">
        <f>IF(OR(A166="",'Cấu hình'!#REF!=""),"",INT((A166-'Cấu hình'!#REF!)/7)+1)</f>
        <v>#REF!</v>
      </c>
      <c r="C166" s="19"/>
      <c r="D166" s="18" t="str">
        <f>IF(C166="","",IFERROR(INDEX('Cấu hình'!$C$7:$C$16,MATCH(C166,'Cấu hình'!$B$7:$B$16,0)),""))</f>
        <v/>
      </c>
      <c r="E166" s="19"/>
      <c r="F166" s="19"/>
      <c r="G166" s="19"/>
      <c r="H166" s="19"/>
    </row>
    <row r="167" spans="1:8" x14ac:dyDescent="0.3">
      <c r="A167" s="24"/>
      <c r="B167" s="18" t="e">
        <f>IF(OR(A167="",'Cấu hình'!#REF!=""),"",INT((A167-'Cấu hình'!#REF!)/7)+1)</f>
        <v>#REF!</v>
      </c>
      <c r="C167" s="19"/>
      <c r="D167" s="18" t="str">
        <f>IF(C167="","",IFERROR(INDEX('Cấu hình'!$C$7:$C$16,MATCH(C167,'Cấu hình'!$B$7:$B$16,0)),""))</f>
        <v/>
      </c>
      <c r="E167" s="19"/>
      <c r="F167" s="19"/>
      <c r="G167" s="19"/>
      <c r="H167" s="19"/>
    </row>
    <row r="168" spans="1:8" x14ac:dyDescent="0.3">
      <c r="A168" s="24"/>
      <c r="B168" s="18" t="e">
        <f>IF(OR(A168="",'Cấu hình'!#REF!=""),"",INT((A168-'Cấu hình'!#REF!)/7)+1)</f>
        <v>#REF!</v>
      </c>
      <c r="C168" s="19"/>
      <c r="D168" s="18" t="str">
        <f>IF(C168="","",IFERROR(INDEX('Cấu hình'!$C$7:$C$16,MATCH(C168,'Cấu hình'!$B$7:$B$16,0)),""))</f>
        <v/>
      </c>
      <c r="E168" s="19"/>
      <c r="F168" s="19"/>
      <c r="G168" s="19"/>
      <c r="H168" s="19"/>
    </row>
    <row r="169" spans="1:8" x14ac:dyDescent="0.3">
      <c r="A169" s="24"/>
      <c r="B169" s="18" t="e">
        <f>IF(OR(A169="",'Cấu hình'!#REF!=""),"",INT((A169-'Cấu hình'!#REF!)/7)+1)</f>
        <v>#REF!</v>
      </c>
      <c r="C169" s="19"/>
      <c r="D169" s="18" t="str">
        <f>IF(C169="","",IFERROR(INDEX('Cấu hình'!$C$7:$C$16,MATCH(C169,'Cấu hình'!$B$7:$B$16,0)),""))</f>
        <v/>
      </c>
      <c r="E169" s="19"/>
      <c r="F169" s="19"/>
      <c r="G169" s="19"/>
      <c r="H169" s="19"/>
    </row>
    <row r="170" spans="1:8" x14ac:dyDescent="0.3">
      <c r="A170" s="24"/>
      <c r="B170" s="18" t="e">
        <f>IF(OR(A170="",'Cấu hình'!#REF!=""),"",INT((A170-'Cấu hình'!#REF!)/7)+1)</f>
        <v>#REF!</v>
      </c>
      <c r="C170" s="19"/>
      <c r="D170" s="18" t="str">
        <f>IF(C170="","",IFERROR(INDEX('Cấu hình'!$C$7:$C$16,MATCH(C170,'Cấu hình'!$B$7:$B$16,0)),""))</f>
        <v/>
      </c>
      <c r="E170" s="19"/>
      <c r="F170" s="19"/>
      <c r="G170" s="19"/>
      <c r="H170" s="19"/>
    </row>
    <row r="171" spans="1:8" x14ac:dyDescent="0.3">
      <c r="A171" s="24"/>
      <c r="B171" s="18" t="e">
        <f>IF(OR(A171="",'Cấu hình'!#REF!=""),"",INT((A171-'Cấu hình'!#REF!)/7)+1)</f>
        <v>#REF!</v>
      </c>
      <c r="C171" s="19"/>
      <c r="D171" s="18" t="str">
        <f>IF(C171="","",IFERROR(INDEX('Cấu hình'!$C$7:$C$16,MATCH(C171,'Cấu hình'!$B$7:$B$16,0)),""))</f>
        <v/>
      </c>
      <c r="E171" s="19"/>
      <c r="F171" s="19"/>
      <c r="G171" s="19"/>
      <c r="H171" s="19"/>
    </row>
    <row r="172" spans="1:8" x14ac:dyDescent="0.3">
      <c r="A172" s="24"/>
      <c r="B172" s="18" t="e">
        <f>IF(OR(A172="",'Cấu hình'!#REF!=""),"",INT((A172-'Cấu hình'!#REF!)/7)+1)</f>
        <v>#REF!</v>
      </c>
      <c r="C172" s="19"/>
      <c r="D172" s="18" t="str">
        <f>IF(C172="","",IFERROR(INDEX('Cấu hình'!$C$7:$C$16,MATCH(C172,'Cấu hình'!$B$7:$B$16,0)),""))</f>
        <v/>
      </c>
      <c r="E172" s="19"/>
      <c r="F172" s="19"/>
      <c r="G172" s="19"/>
      <c r="H172" s="19"/>
    </row>
    <row r="173" spans="1:8" x14ac:dyDescent="0.3">
      <c r="A173" s="24"/>
      <c r="B173" s="18" t="e">
        <f>IF(OR(A173="",'Cấu hình'!#REF!=""),"",INT((A173-'Cấu hình'!#REF!)/7)+1)</f>
        <v>#REF!</v>
      </c>
      <c r="C173" s="19"/>
      <c r="D173" s="18" t="str">
        <f>IF(C173="","",IFERROR(INDEX('Cấu hình'!$C$7:$C$16,MATCH(C173,'Cấu hình'!$B$7:$B$16,0)),""))</f>
        <v/>
      </c>
      <c r="E173" s="19"/>
      <c r="F173" s="19"/>
      <c r="G173" s="19"/>
      <c r="H173" s="19"/>
    </row>
    <row r="174" spans="1:8" x14ac:dyDescent="0.3">
      <c r="A174" s="24"/>
      <c r="B174" s="18" t="e">
        <f>IF(OR(A174="",'Cấu hình'!#REF!=""),"",INT((A174-'Cấu hình'!#REF!)/7)+1)</f>
        <v>#REF!</v>
      </c>
      <c r="C174" s="19"/>
      <c r="D174" s="18" t="str">
        <f>IF(C174="","",IFERROR(INDEX('Cấu hình'!$C$7:$C$16,MATCH(C174,'Cấu hình'!$B$7:$B$16,0)),""))</f>
        <v/>
      </c>
      <c r="E174" s="19"/>
      <c r="F174" s="19"/>
      <c r="G174" s="19"/>
      <c r="H174" s="19"/>
    </row>
    <row r="175" spans="1:8" x14ac:dyDescent="0.3">
      <c r="A175" s="24"/>
      <c r="B175" s="18" t="e">
        <f>IF(OR(A175="",'Cấu hình'!#REF!=""),"",INT((A175-'Cấu hình'!#REF!)/7)+1)</f>
        <v>#REF!</v>
      </c>
      <c r="C175" s="19"/>
      <c r="D175" s="18" t="str">
        <f>IF(C175="","",IFERROR(INDEX('Cấu hình'!$C$7:$C$16,MATCH(C175,'Cấu hình'!$B$7:$B$16,0)),""))</f>
        <v/>
      </c>
      <c r="E175" s="19"/>
      <c r="F175" s="19"/>
      <c r="G175" s="19"/>
      <c r="H175" s="19"/>
    </row>
    <row r="176" spans="1:8" x14ac:dyDescent="0.3">
      <c r="A176" s="24"/>
      <c r="B176" s="18" t="e">
        <f>IF(OR(A176="",'Cấu hình'!#REF!=""),"",INT((A176-'Cấu hình'!#REF!)/7)+1)</f>
        <v>#REF!</v>
      </c>
      <c r="C176" s="19"/>
      <c r="D176" s="18" t="str">
        <f>IF(C176="","",IFERROR(INDEX('Cấu hình'!$C$7:$C$16,MATCH(C176,'Cấu hình'!$B$7:$B$16,0)),""))</f>
        <v/>
      </c>
      <c r="E176" s="19"/>
      <c r="F176" s="19"/>
      <c r="G176" s="19"/>
      <c r="H176" s="19"/>
    </row>
    <row r="177" spans="1:8" x14ac:dyDescent="0.3">
      <c r="A177" s="24"/>
      <c r="B177" s="18" t="e">
        <f>IF(OR(A177="",'Cấu hình'!#REF!=""),"",INT((A177-'Cấu hình'!#REF!)/7)+1)</f>
        <v>#REF!</v>
      </c>
      <c r="C177" s="19"/>
      <c r="D177" s="18" t="str">
        <f>IF(C177="","",IFERROR(INDEX('Cấu hình'!$C$7:$C$16,MATCH(C177,'Cấu hình'!$B$7:$B$16,0)),""))</f>
        <v/>
      </c>
      <c r="E177" s="19"/>
      <c r="F177" s="19"/>
      <c r="G177" s="19"/>
      <c r="H177" s="19"/>
    </row>
    <row r="178" spans="1:8" x14ac:dyDescent="0.3">
      <c r="A178" s="24"/>
      <c r="B178" s="18" t="e">
        <f>IF(OR(A178="",'Cấu hình'!#REF!=""),"",INT((A178-'Cấu hình'!#REF!)/7)+1)</f>
        <v>#REF!</v>
      </c>
      <c r="C178" s="19"/>
      <c r="D178" s="18" t="str">
        <f>IF(C178="","",IFERROR(INDEX('Cấu hình'!$C$7:$C$16,MATCH(C178,'Cấu hình'!$B$7:$B$16,0)),""))</f>
        <v/>
      </c>
      <c r="E178" s="19"/>
      <c r="F178" s="19"/>
      <c r="G178" s="19"/>
      <c r="H178" s="19"/>
    </row>
    <row r="179" spans="1:8" x14ac:dyDescent="0.3">
      <c r="A179" s="24"/>
      <c r="B179" s="18" t="e">
        <f>IF(OR(A179="",'Cấu hình'!#REF!=""),"",INT((A179-'Cấu hình'!#REF!)/7)+1)</f>
        <v>#REF!</v>
      </c>
      <c r="C179" s="19"/>
      <c r="D179" s="18" t="str">
        <f>IF(C179="","",IFERROR(INDEX('Cấu hình'!$C$7:$C$16,MATCH(C179,'Cấu hình'!$B$7:$B$16,0)),""))</f>
        <v/>
      </c>
      <c r="E179" s="19"/>
      <c r="F179" s="19"/>
      <c r="G179" s="19"/>
      <c r="H179" s="19"/>
    </row>
    <row r="180" spans="1:8" x14ac:dyDescent="0.3">
      <c r="A180" s="24"/>
      <c r="B180" s="18" t="e">
        <f>IF(OR(A180="",'Cấu hình'!#REF!=""),"",INT((A180-'Cấu hình'!#REF!)/7)+1)</f>
        <v>#REF!</v>
      </c>
      <c r="C180" s="19"/>
      <c r="D180" s="18" t="str">
        <f>IF(C180="","",IFERROR(INDEX('Cấu hình'!$C$7:$C$16,MATCH(C180,'Cấu hình'!$B$7:$B$16,0)),""))</f>
        <v/>
      </c>
      <c r="E180" s="19"/>
      <c r="F180" s="19"/>
      <c r="G180" s="19"/>
      <c r="H180" s="19"/>
    </row>
    <row r="181" spans="1:8" x14ac:dyDescent="0.3">
      <c r="A181" s="24"/>
      <c r="B181" s="18" t="e">
        <f>IF(OR(A181="",'Cấu hình'!#REF!=""),"",INT((A181-'Cấu hình'!#REF!)/7)+1)</f>
        <v>#REF!</v>
      </c>
      <c r="C181" s="19"/>
      <c r="D181" s="18" t="str">
        <f>IF(C181="","",IFERROR(INDEX('Cấu hình'!$C$7:$C$16,MATCH(C181,'Cấu hình'!$B$7:$B$16,0)),""))</f>
        <v/>
      </c>
      <c r="E181" s="19"/>
      <c r="F181" s="19"/>
      <c r="G181" s="19"/>
      <c r="H181" s="19"/>
    </row>
    <row r="182" spans="1:8" x14ac:dyDescent="0.3">
      <c r="A182" s="24"/>
      <c r="B182" s="18" t="e">
        <f>IF(OR(A182="",'Cấu hình'!#REF!=""),"",INT((A182-'Cấu hình'!#REF!)/7)+1)</f>
        <v>#REF!</v>
      </c>
      <c r="C182" s="19"/>
      <c r="D182" s="18" t="str">
        <f>IF(C182="","",IFERROR(INDEX('Cấu hình'!$C$7:$C$16,MATCH(C182,'Cấu hình'!$B$7:$B$16,0)),""))</f>
        <v/>
      </c>
      <c r="E182" s="19"/>
      <c r="F182" s="19"/>
      <c r="G182" s="19"/>
      <c r="H182" s="19"/>
    </row>
    <row r="183" spans="1:8" x14ac:dyDescent="0.3">
      <c r="A183" s="24"/>
      <c r="B183" s="18" t="e">
        <f>IF(OR(A183="",'Cấu hình'!#REF!=""),"",INT((A183-'Cấu hình'!#REF!)/7)+1)</f>
        <v>#REF!</v>
      </c>
      <c r="C183" s="19"/>
      <c r="D183" s="18" t="str">
        <f>IF(C183="","",IFERROR(INDEX('Cấu hình'!$C$7:$C$16,MATCH(C183,'Cấu hình'!$B$7:$B$16,0)),""))</f>
        <v/>
      </c>
      <c r="E183" s="19"/>
      <c r="F183" s="19"/>
      <c r="G183" s="19"/>
      <c r="H183" s="19"/>
    </row>
    <row r="184" spans="1:8" x14ac:dyDescent="0.3">
      <c r="A184" s="24"/>
      <c r="B184" s="18" t="e">
        <f>IF(OR(A184="",'Cấu hình'!#REF!=""),"",INT((A184-'Cấu hình'!#REF!)/7)+1)</f>
        <v>#REF!</v>
      </c>
      <c r="C184" s="19"/>
      <c r="D184" s="18" t="str">
        <f>IF(C184="","",IFERROR(INDEX('Cấu hình'!$C$7:$C$16,MATCH(C184,'Cấu hình'!$B$7:$B$16,0)),""))</f>
        <v/>
      </c>
      <c r="E184" s="19"/>
      <c r="F184" s="19"/>
      <c r="G184" s="19"/>
      <c r="H184" s="19"/>
    </row>
    <row r="185" spans="1:8" x14ac:dyDescent="0.3">
      <c r="A185" s="24"/>
      <c r="B185" s="18" t="e">
        <f>IF(OR(A185="",'Cấu hình'!#REF!=""),"",INT((A185-'Cấu hình'!#REF!)/7)+1)</f>
        <v>#REF!</v>
      </c>
      <c r="C185" s="19"/>
      <c r="D185" s="18" t="str">
        <f>IF(C185="","",IFERROR(INDEX('Cấu hình'!$C$7:$C$16,MATCH(C185,'Cấu hình'!$B$7:$B$16,0)),""))</f>
        <v/>
      </c>
      <c r="E185" s="19"/>
      <c r="F185" s="19"/>
      <c r="G185" s="19"/>
      <c r="H185" s="19"/>
    </row>
    <row r="186" spans="1:8" x14ac:dyDescent="0.3">
      <c r="A186" s="24"/>
      <c r="B186" s="18" t="e">
        <f>IF(OR(A186="",'Cấu hình'!#REF!=""),"",INT((A186-'Cấu hình'!#REF!)/7)+1)</f>
        <v>#REF!</v>
      </c>
      <c r="C186" s="19"/>
      <c r="D186" s="18" t="str">
        <f>IF(C186="","",IFERROR(INDEX('Cấu hình'!$C$7:$C$16,MATCH(C186,'Cấu hình'!$B$7:$B$16,0)),""))</f>
        <v/>
      </c>
      <c r="E186" s="19"/>
      <c r="F186" s="19"/>
      <c r="G186" s="19"/>
      <c r="H186" s="19"/>
    </row>
    <row r="187" spans="1:8" x14ac:dyDescent="0.3">
      <c r="A187" s="24"/>
      <c r="B187" s="18" t="e">
        <f>IF(OR(A187="",'Cấu hình'!#REF!=""),"",INT((A187-'Cấu hình'!#REF!)/7)+1)</f>
        <v>#REF!</v>
      </c>
      <c r="C187" s="19"/>
      <c r="D187" s="18" t="str">
        <f>IF(C187="","",IFERROR(INDEX('Cấu hình'!$C$7:$C$16,MATCH(C187,'Cấu hình'!$B$7:$B$16,0)),""))</f>
        <v/>
      </c>
      <c r="E187" s="19"/>
      <c r="F187" s="19"/>
      <c r="G187" s="19"/>
      <c r="H187" s="19"/>
    </row>
    <row r="188" spans="1:8" x14ac:dyDescent="0.3">
      <c r="A188" s="24"/>
      <c r="B188" s="18" t="e">
        <f>IF(OR(A188="",'Cấu hình'!#REF!=""),"",INT((A188-'Cấu hình'!#REF!)/7)+1)</f>
        <v>#REF!</v>
      </c>
      <c r="C188" s="19"/>
      <c r="D188" s="18" t="str">
        <f>IF(C188="","",IFERROR(INDEX('Cấu hình'!$C$7:$C$16,MATCH(C188,'Cấu hình'!$B$7:$B$16,0)),""))</f>
        <v/>
      </c>
      <c r="E188" s="19"/>
      <c r="F188" s="19"/>
      <c r="G188" s="19"/>
      <c r="H188" s="19"/>
    </row>
    <row r="189" spans="1:8" x14ac:dyDescent="0.3">
      <c r="A189" s="24"/>
      <c r="B189" s="18" t="e">
        <f>IF(OR(A189="",'Cấu hình'!#REF!=""),"",INT((A189-'Cấu hình'!#REF!)/7)+1)</f>
        <v>#REF!</v>
      </c>
      <c r="C189" s="19"/>
      <c r="D189" s="18" t="str">
        <f>IF(C189="","",IFERROR(INDEX('Cấu hình'!$C$7:$C$16,MATCH(C189,'Cấu hình'!$B$7:$B$16,0)),""))</f>
        <v/>
      </c>
      <c r="E189" s="19"/>
      <c r="F189" s="19"/>
      <c r="G189" s="19"/>
      <c r="H189" s="19"/>
    </row>
    <row r="190" spans="1:8" x14ac:dyDescent="0.3">
      <c r="A190" s="24"/>
      <c r="B190" s="18" t="e">
        <f>IF(OR(A190="",'Cấu hình'!#REF!=""),"",INT((A190-'Cấu hình'!#REF!)/7)+1)</f>
        <v>#REF!</v>
      </c>
      <c r="C190" s="19"/>
      <c r="D190" s="18" t="str">
        <f>IF(C190="","",IFERROR(INDEX('Cấu hình'!$C$7:$C$16,MATCH(C190,'Cấu hình'!$B$7:$B$16,0)),""))</f>
        <v/>
      </c>
      <c r="E190" s="19"/>
      <c r="F190" s="19"/>
      <c r="G190" s="19"/>
      <c r="H190" s="19"/>
    </row>
    <row r="191" spans="1:8" x14ac:dyDescent="0.3">
      <c r="A191" s="24"/>
      <c r="B191" s="18" t="e">
        <f>IF(OR(A191="",'Cấu hình'!#REF!=""),"",INT((A191-'Cấu hình'!#REF!)/7)+1)</f>
        <v>#REF!</v>
      </c>
      <c r="C191" s="19"/>
      <c r="D191" s="18" t="str">
        <f>IF(C191="","",IFERROR(INDEX('Cấu hình'!$C$7:$C$16,MATCH(C191,'Cấu hình'!$B$7:$B$16,0)),""))</f>
        <v/>
      </c>
      <c r="E191" s="19"/>
      <c r="F191" s="19"/>
      <c r="G191" s="19"/>
      <c r="H191" s="19"/>
    </row>
    <row r="192" spans="1:8" x14ac:dyDescent="0.3">
      <c r="A192" s="24"/>
      <c r="B192" s="18" t="e">
        <f>IF(OR(A192="",'Cấu hình'!#REF!=""),"",INT((A192-'Cấu hình'!#REF!)/7)+1)</f>
        <v>#REF!</v>
      </c>
      <c r="C192" s="19"/>
      <c r="D192" s="18" t="str">
        <f>IF(C192="","",IFERROR(INDEX('Cấu hình'!$C$7:$C$16,MATCH(C192,'Cấu hình'!$B$7:$B$16,0)),""))</f>
        <v/>
      </c>
      <c r="E192" s="19"/>
      <c r="F192" s="19"/>
      <c r="G192" s="19"/>
      <c r="H192" s="19"/>
    </row>
    <row r="193" spans="1:8" x14ac:dyDescent="0.3">
      <c r="A193" s="24"/>
      <c r="B193" s="18" t="e">
        <f>IF(OR(A193="",'Cấu hình'!#REF!=""),"",INT((A193-'Cấu hình'!#REF!)/7)+1)</f>
        <v>#REF!</v>
      </c>
      <c r="C193" s="19"/>
      <c r="D193" s="18" t="str">
        <f>IF(C193="","",IFERROR(INDEX('Cấu hình'!$C$7:$C$16,MATCH(C193,'Cấu hình'!$B$7:$B$16,0)),""))</f>
        <v/>
      </c>
      <c r="E193" s="19"/>
      <c r="F193" s="19"/>
      <c r="G193" s="19"/>
      <c r="H193" s="19"/>
    </row>
    <row r="194" spans="1:8" x14ac:dyDescent="0.3">
      <c r="A194" s="24"/>
      <c r="B194" s="18" t="e">
        <f>IF(OR(A194="",'Cấu hình'!#REF!=""),"",INT((A194-'Cấu hình'!#REF!)/7)+1)</f>
        <v>#REF!</v>
      </c>
      <c r="C194" s="19"/>
      <c r="D194" s="18" t="str">
        <f>IF(C194="","",IFERROR(INDEX('Cấu hình'!$C$7:$C$16,MATCH(C194,'Cấu hình'!$B$7:$B$16,0)),""))</f>
        <v/>
      </c>
      <c r="E194" s="19"/>
      <c r="F194" s="19"/>
      <c r="G194" s="19"/>
      <c r="H194" s="19"/>
    </row>
    <row r="195" spans="1:8" x14ac:dyDescent="0.3">
      <c r="A195" s="24"/>
      <c r="B195" s="18" t="e">
        <f>IF(OR(A195="",'Cấu hình'!#REF!=""),"",INT((A195-'Cấu hình'!#REF!)/7)+1)</f>
        <v>#REF!</v>
      </c>
      <c r="C195" s="19"/>
      <c r="D195" s="18" t="str">
        <f>IF(C195="","",IFERROR(INDEX('Cấu hình'!$C$7:$C$16,MATCH(C195,'Cấu hình'!$B$7:$B$16,0)),""))</f>
        <v/>
      </c>
      <c r="E195" s="19"/>
      <c r="F195" s="19"/>
      <c r="G195" s="19"/>
      <c r="H195" s="19"/>
    </row>
    <row r="196" spans="1:8" x14ac:dyDescent="0.3">
      <c r="A196" s="24"/>
      <c r="B196" s="18" t="e">
        <f>IF(OR(A196="",'Cấu hình'!#REF!=""),"",INT((A196-'Cấu hình'!#REF!)/7)+1)</f>
        <v>#REF!</v>
      </c>
      <c r="C196" s="19"/>
      <c r="D196" s="18" t="str">
        <f>IF(C196="","",IFERROR(INDEX('Cấu hình'!$C$7:$C$16,MATCH(C196,'Cấu hình'!$B$7:$B$16,0)),""))</f>
        <v/>
      </c>
      <c r="E196" s="19"/>
      <c r="F196" s="19"/>
      <c r="G196" s="19"/>
      <c r="H196" s="19"/>
    </row>
    <row r="197" spans="1:8" x14ac:dyDescent="0.3">
      <c r="A197" s="24"/>
      <c r="B197" s="18" t="e">
        <f>IF(OR(A197="",'Cấu hình'!#REF!=""),"",INT((A197-'Cấu hình'!#REF!)/7)+1)</f>
        <v>#REF!</v>
      </c>
      <c r="C197" s="19"/>
      <c r="D197" s="18" t="str">
        <f>IF(C197="","",IFERROR(INDEX('Cấu hình'!$C$7:$C$16,MATCH(C197,'Cấu hình'!$B$7:$B$16,0)),""))</f>
        <v/>
      </c>
      <c r="E197" s="19"/>
      <c r="F197" s="19"/>
      <c r="G197" s="19"/>
      <c r="H197" s="19"/>
    </row>
    <row r="198" spans="1:8" x14ac:dyDescent="0.3">
      <c r="A198" s="24"/>
      <c r="B198" s="18" t="e">
        <f>IF(OR(A198="",'Cấu hình'!#REF!=""),"",INT((A198-'Cấu hình'!#REF!)/7)+1)</f>
        <v>#REF!</v>
      </c>
      <c r="C198" s="19"/>
      <c r="D198" s="18" t="str">
        <f>IF(C198="","",IFERROR(INDEX('Cấu hình'!$C$7:$C$16,MATCH(C198,'Cấu hình'!$B$7:$B$16,0)),""))</f>
        <v/>
      </c>
      <c r="E198" s="19"/>
      <c r="F198" s="19"/>
      <c r="G198" s="19"/>
      <c r="H198" s="19"/>
    </row>
    <row r="199" spans="1:8" x14ac:dyDescent="0.3">
      <c r="A199" s="24"/>
      <c r="B199" s="18" t="e">
        <f>IF(OR(A199="",'Cấu hình'!#REF!=""),"",INT((A199-'Cấu hình'!#REF!)/7)+1)</f>
        <v>#REF!</v>
      </c>
      <c r="C199" s="19"/>
      <c r="D199" s="18" t="str">
        <f>IF(C199="","",IFERROR(INDEX('Cấu hình'!$C$7:$C$16,MATCH(C199,'Cấu hình'!$B$7:$B$16,0)),""))</f>
        <v/>
      </c>
      <c r="E199" s="19"/>
      <c r="F199" s="19"/>
      <c r="G199" s="19"/>
      <c r="H199" s="19"/>
    </row>
    <row r="200" spans="1:8" x14ac:dyDescent="0.3">
      <c r="A200" s="24"/>
      <c r="B200" s="18" t="e">
        <f>IF(OR(A200="",'Cấu hình'!#REF!=""),"",INT((A200-'Cấu hình'!#REF!)/7)+1)</f>
        <v>#REF!</v>
      </c>
      <c r="C200" s="19"/>
      <c r="D200" s="18" t="str">
        <f>IF(C200="","",IFERROR(INDEX('Cấu hình'!$C$7:$C$16,MATCH(C200,'Cấu hình'!$B$7:$B$16,0)),""))</f>
        <v/>
      </c>
      <c r="E200" s="19"/>
      <c r="F200" s="19"/>
      <c r="G200" s="19"/>
      <c r="H200" s="19"/>
    </row>
    <row r="201" spans="1:8" x14ac:dyDescent="0.3">
      <c r="A201" s="24"/>
      <c r="B201" s="18" t="e">
        <f>IF(OR(A201="",'Cấu hình'!#REF!=""),"",INT((A201-'Cấu hình'!#REF!)/7)+1)</f>
        <v>#REF!</v>
      </c>
      <c r="C201" s="19"/>
      <c r="D201" s="18" t="str">
        <f>IF(C201="","",IFERROR(INDEX('Cấu hình'!$C$7:$C$16,MATCH(C201,'Cấu hình'!$B$7:$B$16,0)),""))</f>
        <v/>
      </c>
      <c r="E201" s="19"/>
      <c r="F201" s="19"/>
      <c r="G201" s="19"/>
      <c r="H201" s="19"/>
    </row>
    <row r="202" spans="1:8" x14ac:dyDescent="0.3">
      <c r="A202" s="24"/>
      <c r="B202" s="18" t="e">
        <f>IF(OR(A202="",'Cấu hình'!#REF!=""),"",INT((A202-'Cấu hình'!#REF!)/7)+1)</f>
        <v>#REF!</v>
      </c>
      <c r="C202" s="19"/>
      <c r="D202" s="18" t="str">
        <f>IF(C202="","",IFERROR(INDEX('Cấu hình'!$C$7:$C$16,MATCH(C202,'Cấu hình'!$B$7:$B$16,0)),""))</f>
        <v/>
      </c>
      <c r="E202" s="19"/>
      <c r="F202" s="19"/>
      <c r="G202" s="19"/>
      <c r="H202" s="19"/>
    </row>
    <row r="203" spans="1:8" x14ac:dyDescent="0.3">
      <c r="A203" s="24"/>
      <c r="B203" s="18" t="e">
        <f>IF(OR(A203="",'Cấu hình'!#REF!=""),"",INT((A203-'Cấu hình'!#REF!)/7)+1)</f>
        <v>#REF!</v>
      </c>
      <c r="C203" s="19"/>
      <c r="D203" s="18" t="str">
        <f>IF(C203="","",IFERROR(INDEX('Cấu hình'!$C$7:$C$16,MATCH(C203,'Cấu hình'!$B$7:$B$16,0)),""))</f>
        <v/>
      </c>
      <c r="E203" s="19"/>
      <c r="F203" s="19"/>
      <c r="G203" s="19"/>
      <c r="H203" s="19"/>
    </row>
    <row r="204" spans="1:8" x14ac:dyDescent="0.3">
      <c r="A204" s="24"/>
      <c r="B204" s="18" t="e">
        <f>IF(OR(A204="",'Cấu hình'!#REF!=""),"",INT((A204-'Cấu hình'!#REF!)/7)+1)</f>
        <v>#REF!</v>
      </c>
      <c r="C204" s="19"/>
      <c r="D204" s="18" t="str">
        <f>IF(C204="","",IFERROR(INDEX('Cấu hình'!$C$7:$C$16,MATCH(C204,'Cấu hình'!$B$7:$B$16,0)),""))</f>
        <v/>
      </c>
      <c r="E204" s="19"/>
      <c r="F204" s="19"/>
      <c r="G204" s="19"/>
      <c r="H204" s="19"/>
    </row>
  </sheetData>
  <dataValidations count="1">
    <dataValidation type="list" errorStyle="warning" allowBlank="1" sqref="H5:H204" xr:uid="{00000000-0002-0000-0B00-000001000000}">
      <formula1>"✓"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xr:uid="{00000000-0002-0000-0B00-000000000000}">
          <x14:formula1>
            <xm:f>'Cấu hình'!$B$7:$B$16</xm:f>
          </x14:formula1>
          <x14:formula2>
            <xm:f>0</xm:f>
          </x14:formula2>
          <xm:sqref>C5:C204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F7F7F"/>
  </sheetPr>
  <dimension ref="A1:I71"/>
  <sheetViews>
    <sheetView topLeftCell="A45" zoomScaleNormal="100" workbookViewId="0">
      <selection activeCell="N14" sqref="N14"/>
    </sheetView>
  </sheetViews>
  <sheetFormatPr defaultColWidth="8.6640625" defaultRowHeight="14.4" x14ac:dyDescent="0.3"/>
  <cols>
    <col min="1" max="1" width="40" customWidth="1"/>
    <col min="2" max="10" width="13" customWidth="1"/>
  </cols>
  <sheetData>
    <row r="1" spans="1:2" ht="17.399999999999999" x14ac:dyDescent="0.3">
      <c r="A1" s="3" t="s">
        <v>1118</v>
      </c>
    </row>
    <row r="2" spans="1:2" x14ac:dyDescent="0.3">
      <c r="A2" s="4" t="s">
        <v>1119</v>
      </c>
    </row>
    <row r="4" spans="1:2" x14ac:dyDescent="0.3">
      <c r="A4" s="14" t="s">
        <v>1120</v>
      </c>
    </row>
    <row r="5" spans="1:2" x14ac:dyDescent="0.3">
      <c r="A5" s="25" t="s">
        <v>1121</v>
      </c>
      <c r="B5" s="9">
        <f>COUNTA('Test Cases'!$A$5:$A$300)</f>
        <v>100</v>
      </c>
    </row>
    <row r="6" spans="1:2" x14ac:dyDescent="0.3">
      <c r="A6" s="25" t="s">
        <v>1122</v>
      </c>
      <c r="B6" s="9">
        <f>B5-B11</f>
        <v>0</v>
      </c>
    </row>
    <row r="7" spans="1:2" x14ac:dyDescent="0.3">
      <c r="A7" s="25" t="s">
        <v>40</v>
      </c>
      <c r="B7" s="9">
        <f>COUNTIF('Test Cases'!$T$5:$T$300,"Pass")</f>
        <v>0</v>
      </c>
    </row>
    <row r="8" spans="1:2" x14ac:dyDescent="0.3">
      <c r="A8" s="25" t="s">
        <v>41</v>
      </c>
      <c r="B8" s="9">
        <f>COUNTIF('Test Cases'!$T$5:$T$300,"Fail")</f>
        <v>0</v>
      </c>
    </row>
    <row r="9" spans="1:2" x14ac:dyDescent="0.3">
      <c r="A9" s="25" t="s">
        <v>42</v>
      </c>
      <c r="B9" s="9">
        <f>COUNTIF('Test Cases'!$T$5:$T$300,"Blocked")</f>
        <v>0</v>
      </c>
    </row>
    <row r="10" spans="1:2" x14ac:dyDescent="0.3">
      <c r="A10" s="25" t="s">
        <v>1123</v>
      </c>
      <c r="B10" s="9">
        <f>COUNTIF('Test Cases'!$T$5:$T$300,"N/A")</f>
        <v>0</v>
      </c>
    </row>
    <row r="11" spans="1:2" x14ac:dyDescent="0.3">
      <c r="A11" s="25" t="s">
        <v>369</v>
      </c>
      <c r="B11" s="9">
        <f>COUNTIF('Test Cases'!$T$5:$T$300,"Not Run")</f>
        <v>100</v>
      </c>
    </row>
    <row r="12" spans="1:2" x14ac:dyDescent="0.3">
      <c r="A12" s="25" t="s">
        <v>1124</v>
      </c>
      <c r="B12" s="29">
        <f>IF(B5=0,0,B6/B5)</f>
        <v>0</v>
      </c>
    </row>
    <row r="13" spans="1:2" x14ac:dyDescent="0.3">
      <c r="A13" s="25" t="s">
        <v>1125</v>
      </c>
      <c r="B13" s="29">
        <f>IF(B6=0,0,B7/B6)</f>
        <v>0</v>
      </c>
    </row>
    <row r="14" spans="1:2" x14ac:dyDescent="0.3">
      <c r="A14" s="25" t="s">
        <v>1126</v>
      </c>
      <c r="B14" s="29">
        <f>IF(B6=0,0,B8/B6)</f>
        <v>0</v>
      </c>
    </row>
    <row r="16" spans="1:2" x14ac:dyDescent="0.3">
      <c r="A16" s="14" t="s">
        <v>1127</v>
      </c>
    </row>
    <row r="17" spans="1:9" x14ac:dyDescent="0.3">
      <c r="A17" s="12" t="s">
        <v>84</v>
      </c>
      <c r="B17" s="12" t="s">
        <v>1128</v>
      </c>
      <c r="C17" s="12" t="s">
        <v>1129</v>
      </c>
      <c r="D17" s="12" t="s">
        <v>40</v>
      </c>
      <c r="E17" s="12" t="s">
        <v>41</v>
      </c>
      <c r="F17" s="12" t="s">
        <v>42</v>
      </c>
      <c r="G17" s="12" t="s">
        <v>369</v>
      </c>
      <c r="H17" s="12" t="s">
        <v>1130</v>
      </c>
    </row>
    <row r="18" spans="1:9" x14ac:dyDescent="0.3">
      <c r="A18" s="13" t="s">
        <v>94</v>
      </c>
      <c r="B18" s="13">
        <f>COUNTIF('Test Cases'!$C$5:$C$300,A18)</f>
        <v>12</v>
      </c>
      <c r="C18" s="13">
        <f t="shared" ref="C18:C28" si="0">B18-G18</f>
        <v>0</v>
      </c>
      <c r="D18" s="13">
        <f>COUNTIFS('Test Cases'!$C$5:$C$300,A18,'Test Cases'!$T$5:$T$300,"Pass")</f>
        <v>0</v>
      </c>
      <c r="E18" s="13">
        <f>COUNTIFS('Test Cases'!$C$5:$C$300,A18,'Test Cases'!$T$5:$T$300,"Fail")</f>
        <v>0</v>
      </c>
      <c r="F18" s="13">
        <f>COUNTIFS('Test Cases'!$C$5:$C$300,A18,'Test Cases'!$T$5:$T$300,"Blocked")</f>
        <v>0</v>
      </c>
      <c r="G18" s="13">
        <f>COUNTIFS('Test Cases'!$C$5:$C$300,A18,'Test Cases'!$T$5:$T$300,"Not Run")</f>
        <v>12</v>
      </c>
      <c r="H18" s="30">
        <f t="shared" ref="H18:H29" si="1">IF(C18=0,0,D18/C18)</f>
        <v>0</v>
      </c>
    </row>
    <row r="19" spans="1:9" x14ac:dyDescent="0.3">
      <c r="A19" s="13" t="s">
        <v>119</v>
      </c>
      <c r="B19" s="13">
        <f>COUNTIF('Test Cases'!$C$5:$C$300,A19)</f>
        <v>4</v>
      </c>
      <c r="C19" s="13">
        <f t="shared" si="0"/>
        <v>0</v>
      </c>
      <c r="D19" s="13">
        <f>COUNTIFS('Test Cases'!$C$5:$C$300,A19,'Test Cases'!$T$5:$T$300,"Pass")</f>
        <v>0</v>
      </c>
      <c r="E19" s="13">
        <f>COUNTIFS('Test Cases'!$C$5:$C$300,A19,'Test Cases'!$T$5:$T$300,"Fail")</f>
        <v>0</v>
      </c>
      <c r="F19" s="13">
        <f>COUNTIFS('Test Cases'!$C$5:$C$300,A19,'Test Cases'!$T$5:$T$300,"Blocked")</f>
        <v>0</v>
      </c>
      <c r="G19" s="13">
        <f>COUNTIFS('Test Cases'!$C$5:$C$300,A19,'Test Cases'!$T$5:$T$300,"Not Run")</f>
        <v>4</v>
      </c>
      <c r="H19" s="30">
        <f t="shared" si="1"/>
        <v>0</v>
      </c>
    </row>
    <row r="20" spans="1:9" x14ac:dyDescent="0.3">
      <c r="A20" s="13" t="s">
        <v>123</v>
      </c>
      <c r="B20" s="13">
        <f>COUNTIF('Test Cases'!$C$5:$C$300,A20)</f>
        <v>5</v>
      </c>
      <c r="C20" s="13">
        <f t="shared" si="0"/>
        <v>0</v>
      </c>
      <c r="D20" s="13">
        <f>COUNTIFS('Test Cases'!$C$5:$C$300,A20,'Test Cases'!$T$5:$T$300,"Pass")</f>
        <v>0</v>
      </c>
      <c r="E20" s="13">
        <f>COUNTIFS('Test Cases'!$C$5:$C$300,A20,'Test Cases'!$T$5:$T$300,"Fail")</f>
        <v>0</v>
      </c>
      <c r="F20" s="13">
        <f>COUNTIFS('Test Cases'!$C$5:$C$300,A20,'Test Cases'!$T$5:$T$300,"Blocked")</f>
        <v>0</v>
      </c>
      <c r="G20" s="13">
        <f>COUNTIFS('Test Cases'!$C$5:$C$300,A20,'Test Cases'!$T$5:$T$300,"Not Run")</f>
        <v>5</v>
      </c>
      <c r="H20" s="30">
        <f t="shared" si="1"/>
        <v>0</v>
      </c>
    </row>
    <row r="21" spans="1:9" x14ac:dyDescent="0.3">
      <c r="A21" s="13" t="s">
        <v>135</v>
      </c>
      <c r="B21" s="13">
        <f>COUNTIF('Test Cases'!$C$5:$C$300,A21)</f>
        <v>14</v>
      </c>
      <c r="C21" s="13">
        <f t="shared" si="0"/>
        <v>0</v>
      </c>
      <c r="D21" s="13">
        <f>COUNTIFS('Test Cases'!$C$5:$C$300,A21,'Test Cases'!$T$5:$T$300,"Pass")</f>
        <v>0</v>
      </c>
      <c r="E21" s="13">
        <f>COUNTIFS('Test Cases'!$C$5:$C$300,A21,'Test Cases'!$T$5:$T$300,"Fail")</f>
        <v>0</v>
      </c>
      <c r="F21" s="13">
        <f>COUNTIFS('Test Cases'!$C$5:$C$300,A21,'Test Cases'!$T$5:$T$300,"Blocked")</f>
        <v>0</v>
      </c>
      <c r="G21" s="13">
        <f>COUNTIFS('Test Cases'!$C$5:$C$300,A21,'Test Cases'!$T$5:$T$300,"Not Run")</f>
        <v>14</v>
      </c>
      <c r="H21" s="30">
        <f t="shared" si="1"/>
        <v>0</v>
      </c>
    </row>
    <row r="22" spans="1:9" x14ac:dyDescent="0.3">
      <c r="A22" s="13" t="s">
        <v>158</v>
      </c>
      <c r="B22" s="13">
        <f>COUNTIF('Test Cases'!$C$5:$C$300,A22)</f>
        <v>13</v>
      </c>
      <c r="C22" s="13">
        <f t="shared" si="0"/>
        <v>0</v>
      </c>
      <c r="D22" s="13">
        <f>COUNTIFS('Test Cases'!$C$5:$C$300,A22,'Test Cases'!$T$5:$T$300,"Pass")</f>
        <v>0</v>
      </c>
      <c r="E22" s="13">
        <f>COUNTIFS('Test Cases'!$C$5:$C$300,A22,'Test Cases'!$T$5:$T$300,"Fail")</f>
        <v>0</v>
      </c>
      <c r="F22" s="13">
        <f>COUNTIFS('Test Cases'!$C$5:$C$300,A22,'Test Cases'!$T$5:$T$300,"Blocked")</f>
        <v>0</v>
      </c>
      <c r="G22" s="13">
        <f>COUNTIFS('Test Cases'!$C$5:$C$300,A22,'Test Cases'!$T$5:$T$300,"Not Run")</f>
        <v>13</v>
      </c>
      <c r="H22" s="30">
        <f t="shared" si="1"/>
        <v>0</v>
      </c>
    </row>
    <row r="23" spans="1:9" x14ac:dyDescent="0.3">
      <c r="A23" s="13" t="s">
        <v>179</v>
      </c>
      <c r="B23" s="13">
        <f>COUNTIF('Test Cases'!$C$5:$C$300,A23)</f>
        <v>10</v>
      </c>
      <c r="C23" s="13">
        <f t="shared" si="0"/>
        <v>0</v>
      </c>
      <c r="D23" s="13">
        <f>COUNTIFS('Test Cases'!$C$5:$C$300,A23,'Test Cases'!$T$5:$T$300,"Pass")</f>
        <v>0</v>
      </c>
      <c r="E23" s="13">
        <f>COUNTIFS('Test Cases'!$C$5:$C$300,A23,'Test Cases'!$T$5:$T$300,"Fail")</f>
        <v>0</v>
      </c>
      <c r="F23" s="13">
        <f>COUNTIFS('Test Cases'!$C$5:$C$300,A23,'Test Cases'!$T$5:$T$300,"Blocked")</f>
        <v>0</v>
      </c>
      <c r="G23" s="13">
        <f>COUNTIFS('Test Cases'!$C$5:$C$300,A23,'Test Cases'!$T$5:$T$300,"Not Run")</f>
        <v>10</v>
      </c>
      <c r="H23" s="30">
        <f t="shared" si="1"/>
        <v>0</v>
      </c>
    </row>
    <row r="24" spans="1:9" x14ac:dyDescent="0.3">
      <c r="A24" s="13" t="s">
        <v>196</v>
      </c>
      <c r="B24" s="13">
        <f>COUNTIF('Test Cases'!$C$5:$C$300,A24)</f>
        <v>13</v>
      </c>
      <c r="C24" s="13">
        <f t="shared" si="0"/>
        <v>0</v>
      </c>
      <c r="D24" s="13">
        <f>COUNTIFS('Test Cases'!$C$5:$C$300,A24,'Test Cases'!$T$5:$T$300,"Pass")</f>
        <v>0</v>
      </c>
      <c r="E24" s="13">
        <f>COUNTIFS('Test Cases'!$C$5:$C$300,A24,'Test Cases'!$T$5:$T$300,"Fail")</f>
        <v>0</v>
      </c>
      <c r="F24" s="13">
        <f>COUNTIFS('Test Cases'!$C$5:$C$300,A24,'Test Cases'!$T$5:$T$300,"Blocked")</f>
        <v>0</v>
      </c>
      <c r="G24" s="13">
        <f>COUNTIFS('Test Cases'!$C$5:$C$300,A24,'Test Cases'!$T$5:$T$300,"Not Run")</f>
        <v>13</v>
      </c>
      <c r="H24" s="30">
        <f t="shared" si="1"/>
        <v>0</v>
      </c>
    </row>
    <row r="25" spans="1:9" x14ac:dyDescent="0.3">
      <c r="A25" s="13" t="s">
        <v>217</v>
      </c>
      <c r="B25" s="13">
        <f>COUNTIF('Test Cases'!$C$5:$C$300,A25)</f>
        <v>9</v>
      </c>
      <c r="C25" s="13">
        <f t="shared" si="0"/>
        <v>0</v>
      </c>
      <c r="D25" s="13">
        <f>COUNTIFS('Test Cases'!$C$5:$C$300,A25,'Test Cases'!$T$5:$T$300,"Pass")</f>
        <v>0</v>
      </c>
      <c r="E25" s="13">
        <f>COUNTIFS('Test Cases'!$C$5:$C$300,A25,'Test Cases'!$T$5:$T$300,"Fail")</f>
        <v>0</v>
      </c>
      <c r="F25" s="13">
        <f>COUNTIFS('Test Cases'!$C$5:$C$300,A25,'Test Cases'!$T$5:$T$300,"Blocked")</f>
        <v>0</v>
      </c>
      <c r="G25" s="13">
        <f>COUNTIFS('Test Cases'!$C$5:$C$300,A25,'Test Cases'!$T$5:$T$300,"Not Run")</f>
        <v>9</v>
      </c>
      <c r="H25" s="30">
        <f t="shared" si="1"/>
        <v>0</v>
      </c>
    </row>
    <row r="26" spans="1:9" x14ac:dyDescent="0.3">
      <c r="A26" s="13" t="s">
        <v>231</v>
      </c>
      <c r="B26" s="13">
        <f>COUNTIF('Test Cases'!$C$5:$C$300,A26)</f>
        <v>2</v>
      </c>
      <c r="C26" s="13">
        <f t="shared" si="0"/>
        <v>0</v>
      </c>
      <c r="D26" s="13">
        <f>COUNTIFS('Test Cases'!$C$5:$C$300,A26,'Test Cases'!$T$5:$T$300,"Pass")</f>
        <v>0</v>
      </c>
      <c r="E26" s="13">
        <f>COUNTIFS('Test Cases'!$C$5:$C$300,A26,'Test Cases'!$T$5:$T$300,"Fail")</f>
        <v>0</v>
      </c>
      <c r="F26" s="13">
        <f>COUNTIFS('Test Cases'!$C$5:$C$300,A26,'Test Cases'!$T$5:$T$300,"Blocked")</f>
        <v>0</v>
      </c>
      <c r="G26" s="13">
        <f>COUNTIFS('Test Cases'!$C$5:$C$300,A26,'Test Cases'!$T$5:$T$300,"Not Run")</f>
        <v>2</v>
      </c>
      <c r="H26" s="30">
        <f t="shared" si="1"/>
        <v>0</v>
      </c>
    </row>
    <row r="27" spans="1:9" x14ac:dyDescent="0.3">
      <c r="A27" s="13" t="s">
        <v>239</v>
      </c>
      <c r="B27" s="13">
        <f>COUNTIF('Test Cases'!$C$5:$C$300,A27)</f>
        <v>4</v>
      </c>
      <c r="C27" s="13">
        <f t="shared" si="0"/>
        <v>0</v>
      </c>
      <c r="D27" s="13">
        <f>COUNTIFS('Test Cases'!$C$5:$C$300,A27,'Test Cases'!$T$5:$T$300,"Pass")</f>
        <v>0</v>
      </c>
      <c r="E27" s="13">
        <f>COUNTIFS('Test Cases'!$C$5:$C$300,A27,'Test Cases'!$T$5:$T$300,"Fail")</f>
        <v>0</v>
      </c>
      <c r="F27" s="13">
        <f>COUNTIFS('Test Cases'!$C$5:$C$300,A27,'Test Cases'!$T$5:$T$300,"Blocked")</f>
        <v>0</v>
      </c>
      <c r="G27" s="13">
        <f>COUNTIFS('Test Cases'!$C$5:$C$300,A27,'Test Cases'!$T$5:$T$300,"Not Run")</f>
        <v>4</v>
      </c>
      <c r="H27" s="30">
        <f t="shared" si="1"/>
        <v>0</v>
      </c>
    </row>
    <row r="28" spans="1:9" x14ac:dyDescent="0.3">
      <c r="A28" s="13" t="s">
        <v>252</v>
      </c>
      <c r="B28" s="13">
        <f>COUNTIF('Test Cases'!$C$5:$C$300,A28)</f>
        <v>14</v>
      </c>
      <c r="C28" s="13">
        <f t="shared" si="0"/>
        <v>0</v>
      </c>
      <c r="D28" s="13">
        <f>COUNTIFS('Test Cases'!$C$5:$C$300,A28,'Test Cases'!$T$5:$T$300,"Pass")</f>
        <v>0</v>
      </c>
      <c r="E28" s="13">
        <f>COUNTIFS('Test Cases'!$C$5:$C$300,A28,'Test Cases'!$T$5:$T$300,"Fail")</f>
        <v>0</v>
      </c>
      <c r="F28" s="13">
        <f>COUNTIFS('Test Cases'!$C$5:$C$300,A28,'Test Cases'!$T$5:$T$300,"Blocked")</f>
        <v>0</v>
      </c>
      <c r="G28" s="13">
        <f>COUNTIFS('Test Cases'!$C$5:$C$300,A28,'Test Cases'!$T$5:$T$300,"Not Run")</f>
        <v>14</v>
      </c>
      <c r="H28" s="30">
        <f t="shared" si="1"/>
        <v>0</v>
      </c>
    </row>
    <row r="29" spans="1:9" x14ac:dyDescent="0.3">
      <c r="A29" s="22" t="s">
        <v>280</v>
      </c>
      <c r="B29" s="31">
        <f t="shared" ref="B29:G29" si="2">SUM(B18:B28)</f>
        <v>100</v>
      </c>
      <c r="C29" s="31">
        <f t="shared" si="2"/>
        <v>0</v>
      </c>
      <c r="D29" s="31">
        <f t="shared" si="2"/>
        <v>0</v>
      </c>
      <c r="E29" s="31">
        <f t="shared" si="2"/>
        <v>0</v>
      </c>
      <c r="F29" s="31">
        <f t="shared" si="2"/>
        <v>0</v>
      </c>
      <c r="G29" s="31">
        <f t="shared" si="2"/>
        <v>100</v>
      </c>
      <c r="H29" s="23">
        <f t="shared" si="1"/>
        <v>0</v>
      </c>
      <c r="I29" s="27" t="str">
        <f>IF(B29=B5,"Khớp tổng","LỆCH")</f>
        <v>Khớp tổng</v>
      </c>
    </row>
    <row r="31" spans="1:9" x14ac:dyDescent="0.3">
      <c r="A31" s="14" t="s">
        <v>1131</v>
      </c>
    </row>
    <row r="32" spans="1:9" x14ac:dyDescent="0.3">
      <c r="A32" s="12" t="s">
        <v>1132</v>
      </c>
      <c r="B32" s="12" t="s">
        <v>89</v>
      </c>
      <c r="C32" s="12" t="s">
        <v>1129</v>
      </c>
      <c r="D32" s="12" t="s">
        <v>40</v>
      </c>
      <c r="E32" s="12" t="s">
        <v>41</v>
      </c>
    </row>
    <row r="33" spans="1:5" x14ac:dyDescent="0.3">
      <c r="A33" s="13" t="s">
        <v>376</v>
      </c>
      <c r="B33" s="13">
        <f>COUNTIF('Test Cases'!$M$5:$M$300,A33)</f>
        <v>7</v>
      </c>
      <c r="C33" s="13">
        <f>B33-COUNTIFS('Test Cases'!$M$5:$M$300,A33,'Test Cases'!$T$5:$T$300,"Not Run")</f>
        <v>0</v>
      </c>
      <c r="D33" s="13">
        <f>COUNTIFS('Test Cases'!$M$5:$M$300,A33,'Test Cases'!$T$5:$T$300,"Pass")</f>
        <v>0</v>
      </c>
      <c r="E33" s="13">
        <f>COUNTIFS('Test Cases'!$M$5:$M$300,A33,'Test Cases'!$T$5:$T$300,"Fail")</f>
        <v>0</v>
      </c>
    </row>
    <row r="34" spans="1:5" x14ac:dyDescent="0.3">
      <c r="A34" s="13" t="s">
        <v>382</v>
      </c>
      <c r="B34" s="13">
        <f>COUNTIF('Test Cases'!$M$5:$M$300,A34)</f>
        <v>7</v>
      </c>
      <c r="C34" s="13">
        <f>B34-COUNTIFS('Test Cases'!$M$5:$M$300,A34,'Test Cases'!$T$5:$T$300,"Not Run")</f>
        <v>0</v>
      </c>
      <c r="D34" s="13">
        <f>COUNTIFS('Test Cases'!$M$5:$M$300,A34,'Test Cases'!$T$5:$T$300,"Pass")</f>
        <v>0</v>
      </c>
      <c r="E34" s="13">
        <f>COUNTIFS('Test Cases'!$M$5:$M$300,A34,'Test Cases'!$T$5:$T$300,"Fail")</f>
        <v>0</v>
      </c>
    </row>
    <row r="35" spans="1:5" x14ac:dyDescent="0.3">
      <c r="A35" s="13" t="s">
        <v>442</v>
      </c>
      <c r="B35" s="13">
        <f>COUNTIF('Test Cases'!$M$5:$M$300,A35)</f>
        <v>12</v>
      </c>
      <c r="C35" s="13">
        <f>B35-COUNTIFS('Test Cases'!$M$5:$M$300,A35,'Test Cases'!$T$5:$T$300,"Not Run")</f>
        <v>0</v>
      </c>
      <c r="D35" s="13">
        <f>COUNTIFS('Test Cases'!$M$5:$M$300,A35,'Test Cases'!$T$5:$T$300,"Pass")</f>
        <v>0</v>
      </c>
      <c r="E35" s="13">
        <f>COUNTIFS('Test Cases'!$M$5:$M$300,A35,'Test Cases'!$T$5:$T$300,"Fail")</f>
        <v>0</v>
      </c>
    </row>
    <row r="36" spans="1:5" x14ac:dyDescent="0.3">
      <c r="A36" s="13" t="s">
        <v>401</v>
      </c>
      <c r="B36" s="13">
        <f>COUNTIF('Test Cases'!$M$5:$M$300,A36)</f>
        <v>13</v>
      </c>
      <c r="C36" s="13">
        <f>B36-COUNTIFS('Test Cases'!$M$5:$M$300,A36,'Test Cases'!$T$5:$T$300,"Not Run")</f>
        <v>0</v>
      </c>
      <c r="D36" s="13">
        <f>COUNTIFS('Test Cases'!$M$5:$M$300,A36,'Test Cases'!$T$5:$T$300,"Pass")</f>
        <v>0</v>
      </c>
      <c r="E36" s="13">
        <f>COUNTIFS('Test Cases'!$M$5:$M$300,A36,'Test Cases'!$T$5:$T$300,"Fail")</f>
        <v>0</v>
      </c>
    </row>
    <row r="37" spans="1:5" x14ac:dyDescent="0.3">
      <c r="A37" s="13" t="s">
        <v>425</v>
      </c>
      <c r="B37" s="13">
        <f>COUNTIF('Test Cases'!$M$5:$M$300,A37)</f>
        <v>28</v>
      </c>
      <c r="C37" s="13">
        <f>B37-COUNTIFS('Test Cases'!$M$5:$M$300,A37,'Test Cases'!$T$5:$T$300,"Not Run")</f>
        <v>0</v>
      </c>
      <c r="D37" s="13">
        <f>COUNTIFS('Test Cases'!$M$5:$M$300,A37,'Test Cases'!$T$5:$T$300,"Pass")</f>
        <v>0</v>
      </c>
      <c r="E37" s="13">
        <f>COUNTIFS('Test Cases'!$M$5:$M$300,A37,'Test Cases'!$T$5:$T$300,"Fail")</f>
        <v>0</v>
      </c>
    </row>
    <row r="38" spans="1:5" x14ac:dyDescent="0.3">
      <c r="A38" s="13" t="s">
        <v>368</v>
      </c>
      <c r="B38" s="13">
        <f>COUNTIF('Test Cases'!$M$5:$M$300,A38)</f>
        <v>33</v>
      </c>
      <c r="C38" s="13">
        <f>B38-COUNTIFS('Test Cases'!$M$5:$M$300,A38,'Test Cases'!$T$5:$T$300,"Not Run")</f>
        <v>0</v>
      </c>
      <c r="D38" s="13">
        <f>COUNTIFS('Test Cases'!$M$5:$M$300,A38,'Test Cases'!$T$5:$T$300,"Pass")</f>
        <v>0</v>
      </c>
      <c r="E38" s="13">
        <f>COUNTIFS('Test Cases'!$M$5:$M$300,A38,'Test Cases'!$T$5:$T$300,"Fail")</f>
        <v>0</v>
      </c>
    </row>
    <row r="39" spans="1:5" x14ac:dyDescent="0.3">
      <c r="A39" s="22" t="s">
        <v>1133</v>
      </c>
      <c r="B39" s="22">
        <f>COUNTIF(B33:B38,"&gt;0")</f>
        <v>6</v>
      </c>
    </row>
    <row r="41" spans="1:5" x14ac:dyDescent="0.3">
      <c r="A41" s="14" t="s">
        <v>1134</v>
      </c>
    </row>
    <row r="42" spans="1:5" x14ac:dyDescent="0.3">
      <c r="A42" s="25" t="s">
        <v>1135</v>
      </c>
      <c r="B42" s="9">
        <f>Automation!B15</f>
        <v>6</v>
      </c>
    </row>
    <row r="43" spans="1:5" x14ac:dyDescent="0.3">
      <c r="A43" s="25" t="s">
        <v>1136</v>
      </c>
      <c r="B43" s="9">
        <f>Automation!B16</f>
        <v>0</v>
      </c>
    </row>
    <row r="44" spans="1:5" x14ac:dyDescent="0.3">
      <c r="A44" s="25" t="s">
        <v>1137</v>
      </c>
      <c r="B44" s="9">
        <f>Automation!B17</f>
        <v>0</v>
      </c>
    </row>
    <row r="45" spans="1:5" x14ac:dyDescent="0.3">
      <c r="A45" s="25" t="s">
        <v>860</v>
      </c>
      <c r="B45" s="26">
        <f>Automation!B18</f>
        <v>0</v>
      </c>
    </row>
    <row r="47" spans="1:5" x14ac:dyDescent="0.3">
      <c r="A47" s="14" t="s">
        <v>1138</v>
      </c>
    </row>
    <row r="48" spans="1:5" x14ac:dyDescent="0.3">
      <c r="A48" s="25" t="s">
        <v>1139</v>
      </c>
      <c r="B48" s="9">
        <f>COUNTA('Non-functional'!A5:A14)</f>
        <v>10</v>
      </c>
    </row>
    <row r="49" spans="1:4" x14ac:dyDescent="0.3">
      <c r="A49" s="25" t="s">
        <v>1140</v>
      </c>
      <c r="B49" s="9">
        <f>COUNTIF('Non-functional'!G5:G14,"Pass")</f>
        <v>0</v>
      </c>
    </row>
    <row r="50" spans="1:4" x14ac:dyDescent="0.3">
      <c r="A50" s="25" t="s">
        <v>1141</v>
      </c>
      <c r="B50" s="9">
        <f>COUNTIF('Non-functional'!G5:G14,"Fail")</f>
        <v>0</v>
      </c>
    </row>
    <row r="51" spans="1:4" x14ac:dyDescent="0.3">
      <c r="A51" s="25" t="s">
        <v>1142</v>
      </c>
      <c r="B51" s="9">
        <f>COUNTIFS('Non-functional'!G5:G14,"Fail",'Non-functional'!H5:H14,"Cao")</f>
        <v>0</v>
      </c>
    </row>
    <row r="53" spans="1:4" x14ac:dyDescent="0.3">
      <c r="A53" s="14" t="s">
        <v>1143</v>
      </c>
    </row>
    <row r="54" spans="1:4" x14ac:dyDescent="0.3">
      <c r="A54" s="12" t="s">
        <v>946</v>
      </c>
      <c r="B54" s="12" t="s">
        <v>1144</v>
      </c>
      <c r="C54" s="12" t="s">
        <v>1145</v>
      </c>
      <c r="D54" s="12" t="s">
        <v>1146</v>
      </c>
    </row>
    <row r="55" spans="1:4" x14ac:dyDescent="0.3">
      <c r="A55" s="13" t="s">
        <v>1147</v>
      </c>
      <c r="B55" s="13">
        <f>COUNTIF('Bug Log'!$I$5:$I$154,A55)</f>
        <v>0</v>
      </c>
      <c r="C55" s="13">
        <f>B55-D55</f>
        <v>0</v>
      </c>
      <c r="D55" s="13">
        <f>COUNTIFS('Bug Log'!$I$5:$I$154,A55,'Bug Log'!$K$5:$K$154,"Closed")+COUNTIFS('Bug Log'!$I$5:$I$154,A55,'Bug Log'!$K$5:$K$154,"Verified")+COUNTIFS('Bug Log'!$I$5:$I$154,A55,'Bug Log'!$K$5:$K$154,"Rejected")</f>
        <v>0</v>
      </c>
    </row>
    <row r="56" spans="1:4" x14ac:dyDescent="0.3">
      <c r="A56" s="13" t="s">
        <v>1148</v>
      </c>
      <c r="B56" s="13">
        <f>COUNTIF('Bug Log'!$I$5:$I$154,A56)</f>
        <v>0</v>
      </c>
      <c r="C56" s="13">
        <f>B56-D56</f>
        <v>0</v>
      </c>
      <c r="D56" s="13">
        <f>COUNTIFS('Bug Log'!$I$5:$I$154,A56,'Bug Log'!$K$5:$K$154,"Closed")+COUNTIFS('Bug Log'!$I$5:$I$154,A56,'Bug Log'!$K$5:$K$154,"Verified")+COUNTIFS('Bug Log'!$I$5:$I$154,A56,'Bug Log'!$K$5:$K$154,"Rejected")</f>
        <v>0</v>
      </c>
    </row>
    <row r="57" spans="1:4" x14ac:dyDescent="0.3">
      <c r="A57" s="13" t="s">
        <v>1149</v>
      </c>
      <c r="B57" s="13">
        <f>COUNTIF('Bug Log'!$I$5:$I$154,A57)</f>
        <v>0</v>
      </c>
      <c r="C57" s="13">
        <f>B57-D57</f>
        <v>0</v>
      </c>
      <c r="D57" s="13">
        <f>COUNTIFS('Bug Log'!$I$5:$I$154,A57,'Bug Log'!$K$5:$K$154,"Closed")+COUNTIFS('Bug Log'!$I$5:$I$154,A57,'Bug Log'!$K$5:$K$154,"Verified")+COUNTIFS('Bug Log'!$I$5:$I$154,A57,'Bug Log'!$K$5:$K$154,"Rejected")</f>
        <v>0</v>
      </c>
    </row>
    <row r="58" spans="1:4" x14ac:dyDescent="0.3">
      <c r="A58" s="13" t="s">
        <v>1150</v>
      </c>
      <c r="B58" s="13">
        <f>COUNTIF('Bug Log'!$I$5:$I$154,A58)</f>
        <v>0</v>
      </c>
      <c r="C58" s="13">
        <f>B58-D58</f>
        <v>0</v>
      </c>
      <c r="D58" s="13">
        <f>COUNTIFS('Bug Log'!$I$5:$I$154,A58,'Bug Log'!$K$5:$K$154,"Closed")+COUNTIFS('Bug Log'!$I$5:$I$154,A58,'Bug Log'!$K$5:$K$154,"Verified")+COUNTIFS('Bug Log'!$I$5:$I$154,A58,'Bug Log'!$K$5:$K$154,"Rejected")</f>
        <v>0</v>
      </c>
    </row>
    <row r="59" spans="1:4" x14ac:dyDescent="0.3">
      <c r="A59" s="22" t="s">
        <v>1151</v>
      </c>
      <c r="B59" s="22">
        <f>SUM(B55:B58)</f>
        <v>0</v>
      </c>
      <c r="C59" s="22">
        <f>SUM(C55:C58)</f>
        <v>0</v>
      </c>
      <c r="D59" s="22">
        <f>SUM(D55:D58)</f>
        <v>0</v>
      </c>
    </row>
    <row r="61" spans="1:4" x14ac:dyDescent="0.3">
      <c r="A61" s="14" t="s">
        <v>1152</v>
      </c>
    </row>
    <row r="62" spans="1:4" x14ac:dyDescent="0.3">
      <c r="A62" s="12" t="s">
        <v>947</v>
      </c>
      <c r="B62" s="12" t="s">
        <v>1144</v>
      </c>
      <c r="C62" s="12" t="s">
        <v>1145</v>
      </c>
    </row>
    <row r="63" spans="1:4" x14ac:dyDescent="0.3">
      <c r="A63" s="13" t="s">
        <v>1148</v>
      </c>
      <c r="B63" s="13">
        <f>COUNTIF('Bug Log'!$J$5:$J$154,A63)</f>
        <v>0</v>
      </c>
      <c r="C63" s="13">
        <f>B63-COUNTIFS('Bug Log'!$J$5:$J$154,A63,'Bug Log'!$K$5:$K$154,"Closed")-COUNTIFS('Bug Log'!$J$5:$J$154,A63,'Bug Log'!$K$5:$K$154,"Verified")-COUNTIFS('Bug Log'!$J$5:$J$154,A63,'Bug Log'!$K$5:$K$154,"Rejected")</f>
        <v>0</v>
      </c>
    </row>
    <row r="64" spans="1:4" x14ac:dyDescent="0.3">
      <c r="A64" s="13" t="s">
        <v>1149</v>
      </c>
      <c r="B64" s="13">
        <f>COUNTIF('Bug Log'!$J$5:$J$154,A64)</f>
        <v>0</v>
      </c>
      <c r="C64" s="13">
        <f>B64-COUNTIFS('Bug Log'!$J$5:$J$154,A64,'Bug Log'!$K$5:$K$154,"Closed")-COUNTIFS('Bug Log'!$J$5:$J$154,A64,'Bug Log'!$K$5:$K$154,"Verified")-COUNTIFS('Bug Log'!$J$5:$J$154,A64,'Bug Log'!$K$5:$K$154,"Rejected")</f>
        <v>0</v>
      </c>
    </row>
    <row r="65" spans="1:9" x14ac:dyDescent="0.3">
      <c r="A65" s="13" t="s">
        <v>1150</v>
      </c>
      <c r="B65" s="13">
        <f>COUNTIF('Bug Log'!$J$5:$J$154,A65)</f>
        <v>0</v>
      </c>
      <c r="C65" s="13">
        <f>B65-COUNTIFS('Bug Log'!$J$5:$J$154,A65,'Bug Log'!$K$5:$K$154,"Closed")-COUNTIFS('Bug Log'!$J$5:$J$154,A65,'Bug Log'!$K$5:$K$154,"Verified")-COUNTIFS('Bug Log'!$J$5:$J$154,A65,'Bug Log'!$K$5:$K$154,"Rejected")</f>
        <v>0</v>
      </c>
    </row>
    <row r="67" spans="1:9" x14ac:dyDescent="0.3">
      <c r="A67" s="14" t="s">
        <v>1153</v>
      </c>
    </row>
    <row r="68" spans="1:9" x14ac:dyDescent="0.3">
      <c r="A68" s="27" t="s">
        <v>1154</v>
      </c>
    </row>
    <row r="69" spans="1:9" x14ac:dyDescent="0.3">
      <c r="A69" t="s">
        <v>1155</v>
      </c>
      <c r="B69" s="22" t="str">
        <f>IF(C55&gt;0,"CÓ","KHÔNG")</f>
        <v>KHÔNG</v>
      </c>
    </row>
    <row r="70" spans="1:9" x14ac:dyDescent="0.3">
      <c r="A70" t="s">
        <v>57</v>
      </c>
      <c r="B70" s="22">
        <f>COUNTIFS('Test Cases'!$O$5:$O$300,"P1",'Test Cases'!$T$5:$T$300,"Not Run")</f>
        <v>72</v>
      </c>
    </row>
    <row r="71" spans="1:9" ht="69.75" customHeight="1" x14ac:dyDescent="0.3">
      <c r="A71" t="s">
        <v>1156</v>
      </c>
      <c r="B71" s="1"/>
      <c r="C71" s="1"/>
      <c r="D71" s="1"/>
      <c r="E71" s="1"/>
      <c r="F71" s="1"/>
      <c r="G71" s="1"/>
      <c r="H71" s="1"/>
      <c r="I71" s="1"/>
    </row>
  </sheetData>
  <mergeCells count="1">
    <mergeCell ref="B71:I7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Cấu hình</vt:lpstr>
      <vt:lpstr>Tổng quan</vt:lpstr>
      <vt:lpstr>Checklist cover</vt:lpstr>
      <vt:lpstr>Test Scenario</vt:lpstr>
      <vt:lpstr>Test Cases</vt:lpstr>
      <vt:lpstr>Automation</vt:lpstr>
      <vt:lpstr>Non-functional</vt:lpstr>
      <vt:lpstr>Bug Log</vt:lpstr>
      <vt:lpstr>Contribution Log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Thái Hoàng Minh</cp:lastModifiedBy>
  <cp:revision>1</cp:revision>
  <dcterms:created xsi:type="dcterms:W3CDTF">2026-10-07T00:49:28Z</dcterms:created>
  <dcterms:modified xsi:type="dcterms:W3CDTF">2026-10-07T01:07:19Z</dcterms:modified>
  <dc:language>en-US</dc:language>
</cp:coreProperties>
</file>