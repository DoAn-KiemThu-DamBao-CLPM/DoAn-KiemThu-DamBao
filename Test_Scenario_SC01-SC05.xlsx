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Đọc trước" sheetId="1" state="visible" r:id="rId3"/>
    <sheet name="Test Scenario" sheetId="2" state="visible" r:id="rId4"/>
    <sheet name="Ma trận SC-TC" sheetId="3" state="visible" r:id="rId5"/>
  </sheets>
  <definedNames>
    <definedName function="false" hidden="true" localSheetId="2" name="_xlnm._FilterDatabase" vbProcedure="false">'Ma trận SC-TC'!$A$1:$F$50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<sst xmlns="http://schemas.openxmlformats.org/spreadsheetml/2006/main" count="378" uniqueCount="205">
  <si>
    <t xml:space="preserve">Test Scenario SC01–SC05 – Nhóm 1 (M1–M5 + F49) – hệ thống ANYN</t>
  </si>
  <si>
    <t xml:space="preserve">Người lập: Lâm Hoài An (Functional Tester 1). Ngày: 08/10/2026. Bản nháp chờ QA Lead duyệt.</t>
  </si>
  <si>
    <t xml:space="preserve">Kịch bản, mã chức năng và số TC lấy theo Checklist_TestCase.xlsx (100 TC chốt) và Test Plan v1.0; file này bổ sung phần mô tả chi tiết cho các kịch bản của Nhóm 1.</t>
  </si>
  <si>
    <t xml:space="preserve">Sheet "Test Scenario": mục tiêu, vai trò, điều kiện tiên quyết, luồng chính, luồng ngoại lệ, kỹ thuật thiết kế, kết quả mong đợi; số TC tính bằng công thức từ sheet ma trận.</t>
  </si>
  <si>
    <t xml:space="preserve">Sheet "Ma trận SC-TC": 49 TC của Nhóm 1 theo mã TC trong Checklist, kèm kịch bản. TC097 (F49 bộ lọc nội dung) thuộc SC11 nhưng do Nhóm 1 phụ trách.</t>
  </si>
  <si>
    <t xml:space="preserve">SC06–SC10 do Khang (Nhóm 2), SC11–SC12 do Khang, Tuệ và Minh bổ sung theo cùng mẫu.</t>
  </si>
  <si>
    <t xml:space="preserve">Mã SC</t>
  </si>
  <si>
    <t xml:space="preserve">Kịch bản</t>
  </si>
  <si>
    <t xml:space="preserve">Mục tiêu</t>
  </si>
  <si>
    <t xml:space="preserve">Vai trò</t>
  </si>
  <si>
    <t xml:space="preserve">Mã CN</t>
  </si>
  <si>
    <t xml:space="preserve">Điều kiện tiên quyết</t>
  </si>
  <si>
    <t xml:space="preserve">Luồng chính</t>
  </si>
  <si>
    <t xml:space="preserve">Luồng thay thế và ngoại lệ</t>
  </si>
  <si>
    <t xml:space="preserve">Kỹ thuật thiết kế</t>
  </si>
  <si>
    <t xml:space="preserve">Kết quả mong đợi tổng quát</t>
  </si>
  <si>
    <t xml:space="preserve">Số TC</t>
  </si>
  <si>
    <t xml:space="preserve">P1</t>
  </si>
  <si>
    <t xml:space="preserve">P2</t>
  </si>
  <si>
    <t xml:space="preserve">P3</t>
  </si>
  <si>
    <t xml:space="preserve">SC01</t>
  </si>
  <si>
    <t xml:space="preserve">Đăng ký, đăng nhập, quên mật khẩu, phiên</t>
  </si>
  <si>
    <t xml:space="preserve">Người dùng mới tạo tài khoản, đăng nhập an toàn, bị giới hạn khi nhập sai nhiều lần, khôi phục mật khẩu bằng liên kết và kết thúc phiên.</t>
  </si>
  <si>
    <t xml:space="preserve">Guest, User</t>
  </si>
  <si>
    <t xml:space="preserve">F01–F06</t>
  </si>
  <si>
    <t xml:space="preserve">- Hệ thống chạy, CSDL mẫu đã nạp
- Chưa có tài khoản tester01 (hoặc dùng email mới)
- APP_ENV = development nên liên kết đặt lại mật khẩu hiện ngay trên trang</t>
  </si>
  <si>
    <t xml:space="preserve">1. Guest mở trang Đăng ký, nhập thông tin hợp lệ và đăng ký
2. Đăng nhập bằng tài khoản vừa tạo (có thể tích Remember me)
3. Đăng xuất
4. Vào Quên mật khẩu, nhập email, mở liên kết đặt lại
5. Đặt mật khẩu mới rồi đăng nhập lại bằng mật khẩu mới</t>
  </si>
  <si>
    <t xml:space="preserve">- Đăng ký sai định dạng, trùng email/username, mật khẩu yếu hoặc ngoài biên 8–72, xác nhận không khớp
- Đăng nhập sai nhiều lần: khóa sau 5 lần/email hoặc 20 lần/IP trong 15 phút, hết khóa, đăng nhập đúng xóa bộ đếm
- Quên mật khẩu với email không tồn tại, vượt 5 yêu cầu/15 phút, yêu cầu mới làm token cũ mất hiệu lực
- Token sai, hết hạn (30 phút) hoặc đã dùng
- Đăng xuất rồi nhấn Back</t>
  </si>
  <si>
    <t xml:space="preserve">Use Case, Phân vùng tương đương, Biên (độ dài username/mật khẩu/email), Chuyển trạng thái (khóa đăng nhập, token), Đoán lỗi</t>
  </si>
  <si>
    <t xml:space="preserve">Tài khoản được tạo đúng, đăng nhập/đăng xuất đúng, thông báo lỗi không lộ email có tồn tại, cơ chế khóa và token hoạt động đúng quy tắc.</t>
  </si>
  <si>
    <t xml:space="preserve">SC02</t>
  </si>
  <si>
    <t xml:space="preserve">Phân quyền Guest / User / Admin</t>
  </si>
  <si>
    <t xml:space="preserve">Mỗi vai trò chỉ truy cập được trang và thao tác thuộc quyền; không vượt quyền và không sửa được dữ liệu của người khác.</t>
  </si>
  <si>
    <t xml:space="preserve">Guest, User, Admin</t>
  </si>
  <si>
    <t xml:space="preserve">F07</t>
  </si>
  <si>
    <t xml:space="preserve">- Có 3 trạng thái: chưa đăng nhập, user thường (user01, user02), admin
- Có sẵn idea và bình luận của user02</t>
  </si>
  <si>
    <t xml:space="preserve">1. Guest mở trực tiếp các trang cần đăng nhập (profile, commission, shop, my_commissions, submit_idea)
2. Guest và user thường mở các trang admin_*
3. Admin mở tất cả trang admin_*
4. Hạ quyền admin trong DB rồi tải lại trang quản trị</t>
  </si>
  <si>
    <t xml:space="preserve">- Mỗi trang phản hồi khác nhau (chuyển hướng, "Access Denied", "Sign in required") và mã HTTP của trang admin
- POST giả mạo thao tác admin từ tài khoản user
- User01 đổi id để sửa/xóa idea hoặc bình luận của user02
- Xóa tài khoản đang đăng nhập</t>
  </si>
  <si>
    <t xml:space="preserve">Bảng quyết định (vai trò × trang), Đoán lỗi</t>
  </si>
  <si>
    <t xml:space="preserve">Guest và user không vào được chức năng ngoài quyền, không lộ dữ liệu; quyền đọc lại từ CSDL ở mỗi request; dữ liệu người khác không bị thay đổi.</t>
  </si>
  <si>
    <t xml:space="preserve">SC03</t>
  </si>
  <si>
    <t xml:space="preserve">Duyệt gallery, tìm kiếm, xem bot</t>
  </si>
  <si>
    <t xml:space="preserve">Người dùng khám phá nhân vật: tìm kiếm có gợi ý, lọc, sắp xếp, phân trang, xem chi tiết bot, gallery và bộ sưu tập, thả tim ảnh.</t>
  </si>
  <si>
    <t xml:space="preserve">F08–F13, F17</t>
  </si>
  <si>
    <t xml:space="preserve">- CSDL có bot, theme, ảnh gallery và bộ sưu tập
- Có ít nhất 25 bot nếu muốn kiểm tra phân trang (thêm bot qua admin)</t>
  </si>
  <si>
    <t xml:space="preserve">1. Mở trang chủ, kiểm tra số liệu và danh sách bot
2. Gõ từ khóa, xem gợi ý, tìm kiếm
3. Lọc theo theme, đổi cách sắp xếp, sang trang 2
4. Mở chi tiết bot và bộ sưu tập chứa bot
5. Mở Gallery, mở rộng nhóm ảnh
6. User đăng nhập thả tim một ảnh, bấm lại để gỡ</t>
  </si>
  <si>
    <t xml:space="preserve">- Tìm không có kết quả, ký tự %, _, \, chuỗi dài, XSS ở ô tìm kiếm
- sort/page không hợp lệ, id bot hoặc id nhóm không tồn tại/không phải số
- Theme bị cấm không hiển thị
- Guest thả tim, giả mạo reaction_type hoặc gallery_id</t>
  </si>
  <si>
    <t xml:space="preserve">Phân vùng tương đương, Biên (độ dài từ khóa, số trang), Bảng quyết định, Đoán lỗi</t>
  </si>
  <si>
    <t xml:space="preserve">Kết quả tìm kiếm, lọc, sắp xếp, phân trang đúng; thông tin bot đúng; reaction bật/tắt/đổi đúng; tham số bất thường được xử lý an toàn.</t>
  </si>
  <si>
    <t xml:space="preserve">SC04</t>
  </si>
  <si>
    <t xml:space="preserve">Đánh giá và bình luận bot</t>
  </si>
  <si>
    <t xml:space="preserve">User chấm điểm và thảo luận về một bot; chỉ chủ bình luận được sửa, chủ hoặc admin được xóa.</t>
  </si>
  <si>
    <t xml:space="preserve">User, Admin</t>
  </si>
  <si>
    <t xml:space="preserve">F14–F16</t>
  </si>
  <si>
    <t xml:space="preserve">- Đăng nhập user01; có bot hợp lệ
- Có tài khoản user02 và admin để kiểm tra quyền</t>
  </si>
  <si>
    <t xml:space="preserve">1. Mở chi tiết bot, chấm điểm và kiểm tra điểm trung bình
2. Chấm lại để cập nhật điểm
3. Thêm bình luận, kiểm tra hiển thị kèm điểm
4. Sửa bình luận (hiện dấu đã sửa)
5. Xóa bình luận
6. Admin xóa bình luận của user</t>
  </si>
  <si>
    <t xml:space="preserve">- Điểm ngoài khoảng 1–5, giá trị không phải số (code ép về 1 hoặc 5)
- Guest chấm điểm bằng POST giả
- Bình luận rỗng, dài hơn 1000 ký tự, Unicode/emoji, script/HTML
- User khác sửa/xóa bình luận của người khác (IDOR)</t>
  </si>
  <si>
    <t xml:space="preserve">Use Case, Biên (điểm 1–5, độ dài bình luận), Đoán lỗi (XSS, IDOR)</t>
  </si>
  <si>
    <t xml:space="preserve">Điểm trung bình và số lượt chấm cập nhật đúng; bình luận hiển thị an toàn; quyền sửa/xóa đúng quy tắc.</t>
  </si>
  <si>
    <t xml:space="preserve">SC05</t>
  </si>
  <si>
    <t xml:space="preserve">Vòng đời ý tưởng (Idea)</t>
  </si>
  <si>
    <t xml:space="preserve">Idea đi từ lúc user gửi, được upvote, đến khi admin xử lý và hoàn thành; chủ idea chỉ sửa/xóa khi còn Open.</t>
  </si>
  <si>
    <t xml:space="preserve">F18–F23</t>
  </si>
  <si>
    <t xml:space="preserve">- Có user01, user02 và admin
- Hệ thống cho phép upload ảnh (thư mục uploads ghi được)</t>
  </si>
  <si>
    <t xml:space="preserve">1. User01 gửi idea hợp lệ (nhận gems nhiệm vụ)
2. User02 upvote idea
3. User01 sửa rồi xóa một idea Open
4. Admin chuyển idea sang In Progress
5. Admin hoàn thành idea (Published có bot hoặc Unlisted có link)
6. Admin mở lại idea về Open
7. Kiểm tra danh sách Ideas theo trạng thái</t>
  </si>
  <si>
    <t xml:space="preserve">- Thiếu trường, vượt độ dài, ảnh sai định dạng/dung lượng, URL ảnh sai
- Upvote hai lần, bấm đúp, upvote idea của chính mình, upvote idea không còn Open, Guest upvote
- Sửa/xóa idea của người khác hoặc idea đã In Progress/Completed
- User thường gửi POST đổi trạng thái; Unlisted thiếu link hoặc link không phải http/https
- Tham số msg/error chứa script</t>
  </si>
  <si>
    <t xml:space="preserve">Use Case, Chuyển trạng thái (Open → In Progress → Completed → Open), Bảng quyết định (quyền × trạng thái), Biên, Đoán lỗi</t>
  </si>
  <si>
    <t xml:space="preserve">Trạng thái và thời điểm hoàn thành đổi đúng; mỗi người chỉ một upvote; quyền sửa/xóa/đổi trạng thái đúng; gems chỉ cộng theo quy tắc nhiệm vụ.</t>
  </si>
  <si>
    <t xml:space="preserve">SC11</t>
  </si>
  <si>
    <t xml:space="preserve">Bảo mật ứng dụng (phần F49 do Nhóm 1 phụ trách)</t>
  </si>
  <si>
    <t xml:space="preserve">TC bộ lọc nội dung: biến thể tag cấm</t>
  </si>
  <si>
    <t xml:space="preserve">Admin</t>
  </si>
  <si>
    <t xml:space="preserve">F49</t>
  </si>
  <si>
    <t xml:space="preserve">Chuẩn hóa tên theme, Đoán lỗi</t>
  </si>
  <si>
    <t xml:space="preserve">Biến thể được chuẩn hóa bị chặn; ghi nhận biến thể lọt qua.</t>
  </si>
  <si>
    <t xml:space="preserve">Tổng</t>
  </si>
  <si>
    <t xml:space="preserve">TC ID</t>
  </si>
  <si>
    <t xml:space="preserve">Tiêu đề test case</t>
  </si>
  <si>
    <t xml:space="preserve">Loại test</t>
  </si>
  <si>
    <t xml:space="preserve">Ưu tiên</t>
  </si>
  <si>
    <t xml:space="preserve">TC001</t>
  </si>
  <si>
    <t xml:space="preserve">F01</t>
  </si>
  <si>
    <t xml:space="preserve">Đăng ký thành công với dữ liệu hợp lệ</t>
  </si>
  <si>
    <t xml:space="preserve">Chức năng</t>
  </si>
  <si>
    <t xml:space="preserve">TC002</t>
  </si>
  <si>
    <t xml:space="preserve">Đăng ký trùng email</t>
  </si>
  <si>
    <t xml:space="preserve">TC003</t>
  </si>
  <si>
    <t xml:space="preserve">Mật khẩu ngắn hơn 8 ký tự</t>
  </si>
  <si>
    <t xml:space="preserve">Biên</t>
  </si>
  <si>
    <t xml:space="preserve">TC004</t>
  </si>
  <si>
    <t xml:space="preserve">F02</t>
  </si>
  <si>
    <t xml:space="preserve">Đăng nhập đúng</t>
  </si>
  <si>
    <t xml:space="preserve">TC005</t>
  </si>
  <si>
    <t xml:space="preserve">Đăng nhập sai mật khẩu</t>
  </si>
  <si>
    <t xml:space="preserve">TC006</t>
  </si>
  <si>
    <t xml:space="preserve">F03</t>
  </si>
  <si>
    <t xml:space="preserve">Sai 5 lần liên tiếp cùng email</t>
  </si>
  <si>
    <t xml:space="preserve">Bảo mật</t>
  </si>
  <si>
    <t xml:space="preserve">TC007</t>
  </si>
  <si>
    <t xml:space="preserve">Hết thời gian khóa</t>
  </si>
  <si>
    <t xml:space="preserve">TC008</t>
  </si>
  <si>
    <t xml:space="preserve">F04</t>
  </si>
  <si>
    <t xml:space="preserve">Đăng xuất</t>
  </si>
  <si>
    <t xml:space="preserve">TC009</t>
  </si>
  <si>
    <t xml:space="preserve">F05</t>
  </si>
  <si>
    <t xml:space="preserve">Yêu cầu reset với email tồn tại</t>
  </si>
  <si>
    <t xml:space="preserve">TC010</t>
  </si>
  <si>
    <t xml:space="preserve">Yêu cầu reset với email không tồn tại</t>
  </si>
  <si>
    <t xml:space="preserve">TC011</t>
  </si>
  <si>
    <t xml:space="preserve">F06</t>
  </si>
  <si>
    <t xml:space="preserve">Reset bằng token hợp lệ</t>
  </si>
  <si>
    <t xml:space="preserve">TC012</t>
  </si>
  <si>
    <t xml:space="preserve">Dùng lại token đã sử dụng</t>
  </si>
  <si>
    <t xml:space="preserve">TC013</t>
  </si>
  <si>
    <t xml:space="preserve">Guest vào trang cần đăng nhập</t>
  </si>
  <si>
    <t xml:space="preserve">Phân quyền</t>
  </si>
  <si>
    <t xml:space="preserve">TC014</t>
  </si>
  <si>
    <t xml:space="preserve">Guest vào trang Admin</t>
  </si>
  <si>
    <t xml:space="preserve">TC015</t>
  </si>
  <si>
    <t xml:space="preserve">User thường vào trang Admin</t>
  </si>
  <si>
    <t xml:space="preserve">TC016</t>
  </si>
  <si>
    <t xml:space="preserve">Admin truy cập đầy đủ</t>
  </si>
  <si>
    <t xml:space="preserve">TC017</t>
  </si>
  <si>
    <t xml:space="preserve">F08</t>
  </si>
  <si>
    <t xml:space="preserve">Trang chủ hiển thị đầy đủ</t>
  </si>
  <si>
    <t xml:space="preserve">Giao diện</t>
  </si>
  <si>
    <t xml:space="preserve">TC018</t>
  </si>
  <si>
    <t xml:space="preserve">Điều hướng menu</t>
  </si>
  <si>
    <t xml:space="preserve">TC019</t>
  </si>
  <si>
    <t xml:space="preserve">F09</t>
  </si>
  <si>
    <t xml:space="preserve">Gợi ý tìm kiếm có kết quả</t>
  </si>
  <si>
    <t xml:space="preserve">TC020</t>
  </si>
  <si>
    <t xml:space="preserve">Tìm kiếm không có kết quả</t>
  </si>
  <si>
    <t xml:space="preserve">TC021</t>
  </si>
  <si>
    <t xml:space="preserve">F10</t>
  </si>
  <si>
    <t xml:space="preserve">Trang About</t>
  </si>
  <si>
    <t xml:space="preserve">TC022</t>
  </si>
  <si>
    <t xml:space="preserve">F11</t>
  </si>
  <si>
    <t xml:space="preserve">Xem danh sách Gallery</t>
  </si>
  <si>
    <t xml:space="preserve">TC023</t>
  </si>
  <si>
    <t xml:space="preserve">Lọc/ phân trang Gallery</t>
  </si>
  <si>
    <t xml:space="preserve">TC024</t>
  </si>
  <si>
    <t xml:space="preserve">F12</t>
  </si>
  <si>
    <t xml:space="preserve">Mở nhóm ảnh hợp lệ</t>
  </si>
  <si>
    <t xml:space="preserve">TC025</t>
  </si>
  <si>
    <t xml:space="preserve">Nhóm ảnh id không tồn tại / không hợp lệ</t>
  </si>
  <si>
    <t xml:space="preserve">TC026</t>
  </si>
  <si>
    <t xml:space="preserve">F13</t>
  </si>
  <si>
    <t xml:space="preserve">Xem chi tiết Bot</t>
  </si>
  <si>
    <t xml:space="preserve">TC027</t>
  </si>
  <si>
    <t xml:space="preserve">Bot id không tồn tại</t>
  </si>
  <si>
    <t xml:space="preserve">TC035</t>
  </si>
  <si>
    <t xml:space="preserve">F17</t>
  </si>
  <si>
    <t xml:space="preserve">Thả tim ảnh Gallery</t>
  </si>
  <si>
    <t xml:space="preserve">TC028</t>
  </si>
  <si>
    <t xml:space="preserve">F14</t>
  </si>
  <si>
    <t xml:space="preserve">Chấm điểm hợp lệ</t>
  </si>
  <si>
    <t xml:space="preserve">TC029</t>
  </si>
  <si>
    <t xml:space="preserve">Chấm điểm ngoài khoảng cho phép</t>
  </si>
  <si>
    <t xml:space="preserve">TC030</t>
  </si>
  <si>
    <t xml:space="preserve">F15</t>
  </si>
  <si>
    <t xml:space="preserve">Thêm bình luận hợp lệ</t>
  </si>
  <si>
    <t xml:space="preserve">TC031</t>
  </si>
  <si>
    <t xml:space="preserve">Bình luận rỗng / chỉ khoảng trắng</t>
  </si>
  <si>
    <t xml:space="preserve">TC032</t>
  </si>
  <si>
    <t xml:space="preserve">F16</t>
  </si>
  <si>
    <t xml:space="preserve">Sửa bình luận của mình</t>
  </si>
  <si>
    <t xml:space="preserve">TC033</t>
  </si>
  <si>
    <t xml:space="preserve">Xóa bình luận của mình</t>
  </si>
  <si>
    <t xml:space="preserve">TC034</t>
  </si>
  <si>
    <t xml:space="preserve">Sửa/xóa bình luận của người khác (IDOR)</t>
  </si>
  <si>
    <t xml:space="preserve">TC036</t>
  </si>
  <si>
    <t xml:space="preserve">F18</t>
  </si>
  <si>
    <t xml:space="preserve">Gửi idea hợp lệ</t>
  </si>
  <si>
    <t xml:space="preserve">TC037</t>
  </si>
  <si>
    <t xml:space="preserve">Gửi idea thiếu trường bắt buộc</t>
  </si>
  <si>
    <t xml:space="preserve">TC038</t>
  </si>
  <si>
    <t xml:space="preserve">F19</t>
  </si>
  <si>
    <t xml:space="preserve">Sửa idea của mình</t>
  </si>
  <si>
    <t xml:space="preserve">TC039</t>
  </si>
  <si>
    <t xml:space="preserve">Sửa idea của người khác</t>
  </si>
  <si>
    <t xml:space="preserve">TC040</t>
  </si>
  <si>
    <t xml:space="preserve">F20</t>
  </si>
  <si>
    <t xml:space="preserve">Xóa idea của mình</t>
  </si>
  <si>
    <t xml:space="preserve">TC041</t>
  </si>
  <si>
    <t xml:space="preserve">Xóa idea của người khác</t>
  </si>
  <si>
    <t xml:space="preserve">TC042</t>
  </si>
  <si>
    <t xml:space="preserve">F21</t>
  </si>
  <si>
    <t xml:space="preserve">Upvote idea lần đầu</t>
  </si>
  <si>
    <t xml:space="preserve">TC043</t>
  </si>
  <si>
    <t xml:space="preserve">Upvote cùng idea hai lần / bấm nhanh</t>
  </si>
  <si>
    <t xml:space="preserve">TC044</t>
  </si>
  <si>
    <t xml:space="preserve">F22</t>
  </si>
  <si>
    <t xml:space="preserve">Chuyển open → in_progress → completed</t>
  </si>
  <si>
    <t xml:space="preserve">TC045</t>
  </si>
  <si>
    <t xml:space="preserve">User thường đổi trạng thái idea</t>
  </si>
  <si>
    <t xml:space="preserve">TC046</t>
  </si>
  <si>
    <t xml:space="preserve">Link unlisted không hợp lệ</t>
  </si>
  <si>
    <t xml:space="preserve">TC047</t>
  </si>
  <si>
    <t xml:space="preserve">F23</t>
  </si>
  <si>
    <t xml:space="preserve">Hiển thị thông báo msg / error</t>
  </si>
  <si>
    <t xml:space="preserve">TC048</t>
  </si>
  <si>
    <t xml:space="preserve">Danh sách ideas theo thứ tự/ lọc</t>
  </si>
  <si>
    <t xml:space="preserve">TC097</t>
  </si>
  <si>
    <t xml:space="preserve">Biến thể tag cấm</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</si>
</sst>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2"/>
      <name val="Arial"/>
      <family val="0"/>
      <charset val="1"/>
    </font>
    <font>
      <b val="true"/>
      <sz val="11"/>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D9E2F3"/>
        <bgColor rgb="FFF2F2F2"/>
      </patternFill>
    </fill>
    <fill>
      <patternFill patternType="solid">
        <fgColor rgb="FFF2F2F2"/>
        <bgColor rgb="FFFFFFCC"/>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5" fontId="8" fillId="0" borderId="1" xfId="0" applyFont="true" applyBorder="true" applyAlignment="true" applyProtection="true">
      <alignment horizontal="center" vertical="top" textRotation="0" wrapText="false" indent="0" shrinkToFit="false"/>
      <protection locked="true" hidden="false"/>
    </xf>
    <xf numFmtId="164" fontId="7" fillId="3" borderId="1"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9E2F3"/>
          <bgColor rgb="FF000000"/>
        </patternFill>
      </fill>
    </dxf>
    <dxf>
      <fill>
        <patternFill patternType="solid">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3"/>
    </row>
    <row r="4" customFormat="false" ht="26.85" hidden="false" customHeight="false" outlineLevel="0" collapsed="false">
      <c r="A4" s="3" t="s">
        <v>2</v>
      </c>
    </row>
    <row r="5" customFormat="false" ht="26.85" hidden="false" customHeight="false" outlineLevel="0" collapsed="false">
      <c r="A5" s="3" t="s">
        <v>3</v>
      </c>
    </row>
    <row r="6" customFormat="false" ht="26.85" hidden="false" customHeight="false" outlineLevel="0" collapsed="false">
      <c r="A6" s="3" t="s">
        <v>4</v>
      </c>
    </row>
    <row r="7" customFormat="false" ht="15" hidden="false" customHeight="false" outlineLevel="0" collapsed="false">
      <c r="A7" s="3"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34"/>
    <col collapsed="false" customWidth="true" hidden="false" outlineLevel="0" max="4" min="4" style="1" width="13"/>
    <col collapsed="false" customWidth="true" hidden="false" outlineLevel="0" max="5" min="5" style="1" width="11"/>
    <col collapsed="false" customWidth="true" hidden="false" outlineLevel="0" max="6" min="6" style="1" width="30"/>
    <col collapsed="false" customWidth="true" hidden="false" outlineLevel="0" max="7" min="7" style="1" width="44"/>
    <col collapsed="false" customWidth="true" hidden="false" outlineLevel="0" max="8" min="8" style="1" width="48"/>
    <col collapsed="false" customWidth="true" hidden="false" outlineLevel="0" max="9" min="9" style="1" width="30"/>
    <col collapsed="false" customWidth="true" hidden="false" outlineLevel="0" max="10" min="10" style="1" width="38"/>
    <col collapsed="false" customWidth="true" hidden="false" outlineLevel="0" max="11" min="11" style="1" width="8"/>
    <col collapsed="false" customWidth="true" hidden="false" outlineLevel="0" max="14" min="12" style="1" width="6"/>
  </cols>
  <sheetData>
    <row r="1" customFormat="false" ht="15" hidden="false" customHeight="false" outlineLevel="0" collapsed="false">
      <c r="A1" s="4" t="s">
        <v>6</v>
      </c>
      <c r="B1" s="4" t="s">
        <v>7</v>
      </c>
      <c r="C1" s="4" t="s">
        <v>8</v>
      </c>
      <c r="D1" s="4" t="s">
        <v>9</v>
      </c>
      <c r="E1" s="4" t="s">
        <v>10</v>
      </c>
      <c r="F1" s="4" t="s">
        <v>11</v>
      </c>
      <c r="G1" s="4" t="s">
        <v>12</v>
      </c>
      <c r="H1" s="4" t="s">
        <v>13</v>
      </c>
      <c r="I1" s="4" t="s">
        <v>14</v>
      </c>
      <c r="J1" s="4" t="s">
        <v>15</v>
      </c>
      <c r="K1" s="4" t="s">
        <v>16</v>
      </c>
      <c r="L1" s="4" t="s">
        <v>17</v>
      </c>
      <c r="M1" s="4" t="s">
        <v>18</v>
      </c>
      <c r="N1" s="4" t="s">
        <v>19</v>
      </c>
    </row>
    <row r="2" customFormat="false" ht="102.2" hidden="false" customHeight="false" outlineLevel="0" collapsed="false">
      <c r="A2" s="5" t="s">
        <v>20</v>
      </c>
      <c r="B2" s="6" t="s">
        <v>21</v>
      </c>
      <c r="C2" s="6" t="s">
        <v>22</v>
      </c>
      <c r="D2" s="6" t="s">
        <v>23</v>
      </c>
      <c r="E2" s="6" t="s">
        <v>24</v>
      </c>
      <c r="F2" s="6" t="s">
        <v>25</v>
      </c>
      <c r="G2" s="6" t="s">
        <v>26</v>
      </c>
      <c r="H2" s="6" t="s">
        <v>27</v>
      </c>
      <c r="I2" s="6" t="s">
        <v>28</v>
      </c>
      <c r="J2" s="6" t="s">
        <v>29</v>
      </c>
      <c r="K2" s="7" t="n">
        <f aca="false">COUNTIF('Ma trận SC-TC'!$A$2:$A$50,$A2)</f>
        <v>12</v>
      </c>
      <c r="L2" s="7" t="n">
        <f aca="false">COUNTIFS('Ma trận SC-TC'!$A$2:$A$50,$A2,'Ma trận SC-TC'!$F$2:$F$50,"P1")</f>
        <v>10</v>
      </c>
      <c r="M2" s="7" t="n">
        <f aca="false">COUNTIFS('Ma trận SC-TC'!$A$2:$A$50,$A2,'Ma trận SC-TC'!$F$2:$F$50,"P2")</f>
        <v>1</v>
      </c>
      <c r="N2" s="7" t="n">
        <f aca="false">COUNTIFS('Ma trận SC-TC'!$A$2:$A$50,$A2,'Ma trận SC-TC'!$F$2:$F$50,"P3")</f>
        <v>1</v>
      </c>
    </row>
    <row r="3" customFormat="false" ht="68.65" hidden="false" customHeight="false" outlineLevel="0" collapsed="false">
      <c r="A3" s="5" t="s">
        <v>30</v>
      </c>
      <c r="B3" s="6" t="s">
        <v>31</v>
      </c>
      <c r="C3" s="6" t="s">
        <v>32</v>
      </c>
      <c r="D3" s="6" t="s">
        <v>33</v>
      </c>
      <c r="E3" s="6" t="s">
        <v>34</v>
      </c>
      <c r="F3" s="6" t="s">
        <v>35</v>
      </c>
      <c r="G3" s="6" t="s">
        <v>36</v>
      </c>
      <c r="H3" s="6" t="s">
        <v>37</v>
      </c>
      <c r="I3" s="6" t="s">
        <v>38</v>
      </c>
      <c r="J3" s="6" t="s">
        <v>39</v>
      </c>
      <c r="K3" s="7" t="n">
        <f aca="false">COUNTIF('Ma trận SC-TC'!$A$2:$A$50,$A3)</f>
        <v>4</v>
      </c>
      <c r="L3" s="7" t="n">
        <f aca="false">COUNTIFS('Ma trận SC-TC'!$A$2:$A$50,$A3,'Ma trận SC-TC'!$F$2:$F$50,"P1")</f>
        <v>4</v>
      </c>
      <c r="M3" s="7" t="n">
        <f aca="false">COUNTIFS('Ma trận SC-TC'!$A$2:$A$50,$A3,'Ma trận SC-TC'!$F$2:$F$50,"P2")</f>
        <v>0</v>
      </c>
      <c r="N3" s="7" t="n">
        <f aca="false">COUNTIFS('Ma trận SC-TC'!$A$2:$A$50,$A3,'Ma trận SC-TC'!$F$2:$F$50,"P3")</f>
        <v>0</v>
      </c>
    </row>
    <row r="4" customFormat="false" ht="68.65" hidden="false" customHeight="false" outlineLevel="0" collapsed="false">
      <c r="A4" s="5" t="s">
        <v>40</v>
      </c>
      <c r="B4" s="6" t="s">
        <v>41</v>
      </c>
      <c r="C4" s="6" t="s">
        <v>42</v>
      </c>
      <c r="D4" s="6" t="s">
        <v>23</v>
      </c>
      <c r="E4" s="6" t="s">
        <v>43</v>
      </c>
      <c r="F4" s="6" t="s">
        <v>44</v>
      </c>
      <c r="G4" s="6" t="s">
        <v>45</v>
      </c>
      <c r="H4" s="6" t="s">
        <v>46</v>
      </c>
      <c r="I4" s="6" t="s">
        <v>47</v>
      </c>
      <c r="J4" s="6" t="s">
        <v>48</v>
      </c>
      <c r="K4" s="7" t="n">
        <f aca="false">COUNTIF('Ma trận SC-TC'!$A$2:$A$50,$A4)</f>
        <v>12</v>
      </c>
      <c r="L4" s="7" t="n">
        <f aca="false">COUNTIFS('Ma trận SC-TC'!$A$2:$A$50,$A4,'Ma trận SC-TC'!$F$2:$F$50,"P1")</f>
        <v>4</v>
      </c>
      <c r="M4" s="7" t="n">
        <f aca="false">COUNTIFS('Ma trận SC-TC'!$A$2:$A$50,$A4,'Ma trận SC-TC'!$F$2:$F$50,"P2")</f>
        <v>6</v>
      </c>
      <c r="N4" s="7" t="n">
        <f aca="false">COUNTIFS('Ma trận SC-TC'!$A$2:$A$50,$A4,'Ma trận SC-TC'!$F$2:$F$50,"P3")</f>
        <v>2</v>
      </c>
    </row>
    <row r="5" customFormat="false" ht="79.85" hidden="false" customHeight="false" outlineLevel="0" collapsed="false">
      <c r="A5" s="5" t="s">
        <v>49</v>
      </c>
      <c r="B5" s="6" t="s">
        <v>50</v>
      </c>
      <c r="C5" s="6" t="s">
        <v>51</v>
      </c>
      <c r="D5" s="6" t="s">
        <v>52</v>
      </c>
      <c r="E5" s="6" t="s">
        <v>53</v>
      </c>
      <c r="F5" s="6" t="s">
        <v>54</v>
      </c>
      <c r="G5" s="6" t="s">
        <v>55</v>
      </c>
      <c r="H5" s="6" t="s">
        <v>56</v>
      </c>
      <c r="I5" s="6" t="s">
        <v>57</v>
      </c>
      <c r="J5" s="6" t="s">
        <v>58</v>
      </c>
      <c r="K5" s="7" t="n">
        <f aca="false">COUNTIF('Ma trận SC-TC'!$A$2:$A$50,$A5)</f>
        <v>7</v>
      </c>
      <c r="L5" s="7" t="n">
        <f aca="false">COUNTIFS('Ma trận SC-TC'!$A$2:$A$50,$A5,'Ma trận SC-TC'!$F$2:$F$50,"P1")</f>
        <v>6</v>
      </c>
      <c r="M5" s="7" t="n">
        <f aca="false">COUNTIFS('Ma trận SC-TC'!$A$2:$A$50,$A5,'Ma trận SC-TC'!$F$2:$F$50,"P2")</f>
        <v>1</v>
      </c>
      <c r="N5" s="7" t="n">
        <f aca="false">COUNTIFS('Ma trận SC-TC'!$A$2:$A$50,$A5,'Ma trận SC-TC'!$F$2:$F$50,"P3")</f>
        <v>0</v>
      </c>
    </row>
    <row r="6" customFormat="false" ht="102.2" hidden="false" customHeight="false" outlineLevel="0" collapsed="false">
      <c r="A6" s="5" t="s">
        <v>59</v>
      </c>
      <c r="B6" s="6" t="s">
        <v>60</v>
      </c>
      <c r="C6" s="6" t="s">
        <v>61</v>
      </c>
      <c r="D6" s="6" t="s">
        <v>52</v>
      </c>
      <c r="E6" s="6" t="s">
        <v>62</v>
      </c>
      <c r="F6" s="6" t="s">
        <v>63</v>
      </c>
      <c r="G6" s="6" t="s">
        <v>64</v>
      </c>
      <c r="H6" s="6" t="s">
        <v>65</v>
      </c>
      <c r="I6" s="6" t="s">
        <v>66</v>
      </c>
      <c r="J6" s="6" t="s">
        <v>67</v>
      </c>
      <c r="K6" s="7" t="n">
        <f aca="false">COUNTIF('Ma trận SC-TC'!$A$2:$A$50,$A6)</f>
        <v>13</v>
      </c>
      <c r="L6" s="7" t="n">
        <f aca="false">COUNTIFS('Ma trận SC-TC'!$A$2:$A$50,$A6,'Ma trận SC-TC'!$F$2:$F$50,"P1")</f>
        <v>9</v>
      </c>
      <c r="M6" s="7" t="n">
        <f aca="false">COUNTIFS('Ma trận SC-TC'!$A$2:$A$50,$A6,'Ma trận SC-TC'!$F$2:$F$50,"P2")</f>
        <v>3</v>
      </c>
      <c r="N6" s="7" t="n">
        <f aca="false">COUNTIFS('Ma trận SC-TC'!$A$2:$A$50,$A6,'Ma trận SC-TC'!$F$2:$F$50,"P3")</f>
        <v>1</v>
      </c>
    </row>
    <row r="7" customFormat="false" ht="23.85" hidden="false" customHeight="false" outlineLevel="0" collapsed="false">
      <c r="A7" s="5" t="s">
        <v>68</v>
      </c>
      <c r="B7" s="6" t="s">
        <v>69</v>
      </c>
      <c r="C7" s="6" t="s">
        <v>70</v>
      </c>
      <c r="D7" s="6" t="s">
        <v>71</v>
      </c>
      <c r="E7" s="6" t="s">
        <v>72</v>
      </c>
      <c r="F7" s="6"/>
      <c r="G7" s="6"/>
      <c r="H7" s="6"/>
      <c r="I7" s="6" t="s">
        <v>73</v>
      </c>
      <c r="J7" s="6" t="s">
        <v>74</v>
      </c>
      <c r="K7" s="7" t="n">
        <f aca="false">COUNTIF('Ma trận SC-TC'!$A$2:$A$50,$A7)</f>
        <v>1</v>
      </c>
      <c r="L7" s="7" t="n">
        <f aca="false">COUNTIFS('Ma trận SC-TC'!$A$2:$A$50,$A7,'Ma trận SC-TC'!$F$2:$F$50,"P1")</f>
        <v>0</v>
      </c>
      <c r="M7" s="7" t="n">
        <f aca="false">COUNTIFS('Ma trận SC-TC'!$A$2:$A$50,$A7,'Ma trận SC-TC'!$F$2:$F$50,"P2")</f>
        <v>1</v>
      </c>
      <c r="N7" s="7" t="n">
        <f aca="false">COUNTIFS('Ma trận SC-TC'!$A$2:$A$50,$A7,'Ma trận SC-TC'!$F$2:$F$50,"P3")</f>
        <v>0</v>
      </c>
    </row>
    <row r="8" customFormat="false" ht="15" hidden="false" customHeight="false" outlineLevel="0" collapsed="false">
      <c r="A8" s="8" t="s">
        <v>75</v>
      </c>
      <c r="B8" s="8"/>
      <c r="C8" s="8"/>
      <c r="D8" s="8"/>
      <c r="E8" s="8"/>
      <c r="F8" s="8"/>
      <c r="G8" s="8"/>
      <c r="H8" s="8"/>
      <c r="I8" s="8"/>
      <c r="J8" s="8"/>
      <c r="K8" s="8" t="n">
        <f aca="false">SUM(K2:K7)</f>
        <v>49</v>
      </c>
      <c r="L8" s="8" t="n">
        <f aca="false">SUM(L2:L7)</f>
        <v>33</v>
      </c>
      <c r="M8" s="8" t="n">
        <f aca="false">SUM(M2:M7)</f>
        <v>12</v>
      </c>
      <c r="N8" s="8" t="n">
        <f aca="false">SUM(N2:N7)</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0"/>
    <col collapsed="false" customWidth="true" hidden="false" outlineLevel="0" max="3" min="3" style="1" width="8"/>
    <col collapsed="false" customWidth="true" hidden="false" outlineLevel="0" max="4" min="4" style="1" width="62"/>
    <col collapsed="false" customWidth="true" hidden="false" outlineLevel="0" max="5" min="5" style="1" width="13"/>
    <col collapsed="false" customWidth="true" hidden="false" outlineLevel="0" max="6" min="6" style="1" width="9"/>
  </cols>
  <sheetData>
    <row r="1" customFormat="false" ht="15" hidden="false" customHeight="false" outlineLevel="0" collapsed="false">
      <c r="A1" s="4" t="s">
        <v>6</v>
      </c>
      <c r="B1" s="4" t="s">
        <v>76</v>
      </c>
      <c r="C1" s="4" t="s">
        <v>10</v>
      </c>
      <c r="D1" s="4" t="s">
        <v>77</v>
      </c>
      <c r="E1" s="4" t="s">
        <v>78</v>
      </c>
      <c r="F1" s="4" t="s">
        <v>79</v>
      </c>
    </row>
    <row r="2" customFormat="false" ht="15" hidden="false" customHeight="false" outlineLevel="0" collapsed="false">
      <c r="A2" s="6" t="s">
        <v>20</v>
      </c>
      <c r="B2" s="6" t="s">
        <v>80</v>
      </c>
      <c r="C2" s="6" t="s">
        <v>81</v>
      </c>
      <c r="D2" s="6" t="s">
        <v>82</v>
      </c>
      <c r="E2" s="6" t="s">
        <v>83</v>
      </c>
      <c r="F2" s="6" t="s">
        <v>17</v>
      </c>
    </row>
    <row r="3" customFormat="false" ht="15" hidden="false" customHeight="false" outlineLevel="0" collapsed="false">
      <c r="A3" s="6" t="s">
        <v>20</v>
      </c>
      <c r="B3" s="6" t="s">
        <v>84</v>
      </c>
      <c r="C3" s="6" t="s">
        <v>81</v>
      </c>
      <c r="D3" s="6" t="s">
        <v>85</v>
      </c>
      <c r="E3" s="6" t="s">
        <v>83</v>
      </c>
      <c r="F3" s="6" t="s">
        <v>17</v>
      </c>
    </row>
    <row r="4" customFormat="false" ht="15" hidden="false" customHeight="false" outlineLevel="0" collapsed="false">
      <c r="A4" s="6" t="s">
        <v>20</v>
      </c>
      <c r="B4" s="6" t="s">
        <v>86</v>
      </c>
      <c r="C4" s="6" t="s">
        <v>81</v>
      </c>
      <c r="D4" s="6" t="s">
        <v>87</v>
      </c>
      <c r="E4" s="6" t="s">
        <v>88</v>
      </c>
      <c r="F4" s="6" t="s">
        <v>17</v>
      </c>
    </row>
    <row r="5" customFormat="false" ht="15" hidden="false" customHeight="false" outlineLevel="0" collapsed="false">
      <c r="A5" s="6" t="s">
        <v>20</v>
      </c>
      <c r="B5" s="6" t="s">
        <v>89</v>
      </c>
      <c r="C5" s="6" t="s">
        <v>90</v>
      </c>
      <c r="D5" s="6" t="s">
        <v>91</v>
      </c>
      <c r="E5" s="6" t="s">
        <v>83</v>
      </c>
      <c r="F5" s="6" t="s">
        <v>17</v>
      </c>
    </row>
    <row r="6" customFormat="false" ht="15" hidden="false" customHeight="false" outlineLevel="0" collapsed="false">
      <c r="A6" s="6" t="s">
        <v>20</v>
      </c>
      <c r="B6" s="6" t="s">
        <v>92</v>
      </c>
      <c r="C6" s="6" t="s">
        <v>90</v>
      </c>
      <c r="D6" s="6" t="s">
        <v>93</v>
      </c>
      <c r="E6" s="6" t="s">
        <v>83</v>
      </c>
      <c r="F6" s="6" t="s">
        <v>17</v>
      </c>
    </row>
    <row r="7" customFormat="false" ht="15" hidden="false" customHeight="false" outlineLevel="0" collapsed="false">
      <c r="A7" s="6" t="s">
        <v>20</v>
      </c>
      <c r="B7" s="6" t="s">
        <v>94</v>
      </c>
      <c r="C7" s="6" t="s">
        <v>95</v>
      </c>
      <c r="D7" s="6" t="s">
        <v>96</v>
      </c>
      <c r="E7" s="6" t="s">
        <v>97</v>
      </c>
      <c r="F7" s="6" t="s">
        <v>17</v>
      </c>
    </row>
    <row r="8" customFormat="false" ht="15" hidden="false" customHeight="false" outlineLevel="0" collapsed="false">
      <c r="A8" s="6" t="s">
        <v>20</v>
      </c>
      <c r="B8" s="6" t="s">
        <v>98</v>
      </c>
      <c r="C8" s="6" t="s">
        <v>95</v>
      </c>
      <c r="D8" s="6" t="s">
        <v>99</v>
      </c>
      <c r="E8" s="6" t="s">
        <v>83</v>
      </c>
      <c r="F8" s="6" t="s">
        <v>19</v>
      </c>
    </row>
    <row r="9" customFormat="false" ht="15" hidden="false" customHeight="false" outlineLevel="0" collapsed="false">
      <c r="A9" s="6" t="s">
        <v>20</v>
      </c>
      <c r="B9" s="6" t="s">
        <v>100</v>
      </c>
      <c r="C9" s="6" t="s">
        <v>101</v>
      </c>
      <c r="D9" s="6" t="s">
        <v>102</v>
      </c>
      <c r="E9" s="6" t="s">
        <v>83</v>
      </c>
      <c r="F9" s="6" t="s">
        <v>17</v>
      </c>
    </row>
    <row r="10" customFormat="false" ht="15" hidden="false" customHeight="false" outlineLevel="0" collapsed="false">
      <c r="A10" s="6" t="s">
        <v>20</v>
      </c>
      <c r="B10" s="6" t="s">
        <v>103</v>
      </c>
      <c r="C10" s="6" t="s">
        <v>104</v>
      </c>
      <c r="D10" s="6" t="s">
        <v>105</v>
      </c>
      <c r="E10" s="6" t="s">
        <v>83</v>
      </c>
      <c r="F10" s="6" t="s">
        <v>17</v>
      </c>
    </row>
    <row r="11" customFormat="false" ht="15" hidden="false" customHeight="false" outlineLevel="0" collapsed="false">
      <c r="A11" s="6" t="s">
        <v>20</v>
      </c>
      <c r="B11" s="6" t="s">
        <v>106</v>
      </c>
      <c r="C11" s="6" t="s">
        <v>104</v>
      </c>
      <c r="D11" s="6" t="s">
        <v>107</v>
      </c>
      <c r="E11" s="6" t="s">
        <v>97</v>
      </c>
      <c r="F11" s="6" t="s">
        <v>18</v>
      </c>
    </row>
    <row r="12" customFormat="false" ht="15" hidden="false" customHeight="false" outlineLevel="0" collapsed="false">
      <c r="A12" s="6" t="s">
        <v>20</v>
      </c>
      <c r="B12" s="6" t="s">
        <v>108</v>
      </c>
      <c r="C12" s="6" t="s">
        <v>109</v>
      </c>
      <c r="D12" s="6" t="s">
        <v>110</v>
      </c>
      <c r="E12" s="6" t="s">
        <v>83</v>
      </c>
      <c r="F12" s="6" t="s">
        <v>17</v>
      </c>
    </row>
    <row r="13" customFormat="false" ht="15" hidden="false" customHeight="false" outlineLevel="0" collapsed="false">
      <c r="A13" s="6" t="s">
        <v>20</v>
      </c>
      <c r="B13" s="6" t="s">
        <v>111</v>
      </c>
      <c r="C13" s="6" t="s">
        <v>109</v>
      </c>
      <c r="D13" s="6" t="s">
        <v>112</v>
      </c>
      <c r="E13" s="6" t="s">
        <v>97</v>
      </c>
      <c r="F13" s="6" t="s">
        <v>17</v>
      </c>
    </row>
    <row r="14" customFormat="false" ht="15" hidden="false" customHeight="false" outlineLevel="0" collapsed="false">
      <c r="A14" s="6" t="s">
        <v>30</v>
      </c>
      <c r="B14" s="6" t="s">
        <v>113</v>
      </c>
      <c r="C14" s="6" t="s">
        <v>34</v>
      </c>
      <c r="D14" s="6" t="s">
        <v>114</v>
      </c>
      <c r="E14" s="6" t="s">
        <v>115</v>
      </c>
      <c r="F14" s="6" t="s">
        <v>17</v>
      </c>
    </row>
    <row r="15" customFormat="false" ht="15" hidden="false" customHeight="false" outlineLevel="0" collapsed="false">
      <c r="A15" s="6" t="s">
        <v>30</v>
      </c>
      <c r="B15" s="6" t="s">
        <v>116</v>
      </c>
      <c r="C15" s="6" t="s">
        <v>34</v>
      </c>
      <c r="D15" s="6" t="s">
        <v>117</v>
      </c>
      <c r="E15" s="6" t="s">
        <v>115</v>
      </c>
      <c r="F15" s="6" t="s">
        <v>17</v>
      </c>
    </row>
    <row r="16" customFormat="false" ht="15" hidden="false" customHeight="false" outlineLevel="0" collapsed="false">
      <c r="A16" s="6" t="s">
        <v>30</v>
      </c>
      <c r="B16" s="6" t="s">
        <v>118</v>
      </c>
      <c r="C16" s="6" t="s">
        <v>34</v>
      </c>
      <c r="D16" s="6" t="s">
        <v>119</v>
      </c>
      <c r="E16" s="6" t="s">
        <v>115</v>
      </c>
      <c r="F16" s="6" t="s">
        <v>17</v>
      </c>
    </row>
    <row r="17" customFormat="false" ht="15" hidden="false" customHeight="false" outlineLevel="0" collapsed="false">
      <c r="A17" s="6" t="s">
        <v>30</v>
      </c>
      <c r="B17" s="6" t="s">
        <v>120</v>
      </c>
      <c r="C17" s="6" t="s">
        <v>34</v>
      </c>
      <c r="D17" s="6" t="s">
        <v>121</v>
      </c>
      <c r="E17" s="6" t="s">
        <v>115</v>
      </c>
      <c r="F17" s="6" t="s">
        <v>17</v>
      </c>
    </row>
    <row r="18" customFormat="false" ht="15" hidden="false" customHeight="false" outlineLevel="0" collapsed="false">
      <c r="A18" s="6" t="s">
        <v>40</v>
      </c>
      <c r="B18" s="6" t="s">
        <v>122</v>
      </c>
      <c r="C18" s="6" t="s">
        <v>123</v>
      </c>
      <c r="D18" s="6" t="s">
        <v>124</v>
      </c>
      <c r="E18" s="6" t="s">
        <v>125</v>
      </c>
      <c r="F18" s="6" t="s">
        <v>17</v>
      </c>
    </row>
    <row r="19" customFormat="false" ht="15" hidden="false" customHeight="false" outlineLevel="0" collapsed="false">
      <c r="A19" s="6" t="s">
        <v>40</v>
      </c>
      <c r="B19" s="6" t="s">
        <v>126</v>
      </c>
      <c r="C19" s="6" t="s">
        <v>123</v>
      </c>
      <c r="D19" s="6" t="s">
        <v>127</v>
      </c>
      <c r="E19" s="6" t="s">
        <v>83</v>
      </c>
      <c r="F19" s="6" t="s">
        <v>18</v>
      </c>
    </row>
    <row r="20" customFormat="false" ht="15" hidden="false" customHeight="false" outlineLevel="0" collapsed="false">
      <c r="A20" s="6" t="s">
        <v>40</v>
      </c>
      <c r="B20" s="6" t="s">
        <v>128</v>
      </c>
      <c r="C20" s="6" t="s">
        <v>129</v>
      </c>
      <c r="D20" s="6" t="s">
        <v>130</v>
      </c>
      <c r="E20" s="6" t="s">
        <v>83</v>
      </c>
      <c r="F20" s="6" t="s">
        <v>18</v>
      </c>
    </row>
    <row r="21" customFormat="false" ht="15" hidden="false" customHeight="false" outlineLevel="0" collapsed="false">
      <c r="A21" s="6" t="s">
        <v>40</v>
      </c>
      <c r="B21" s="6" t="s">
        <v>131</v>
      </c>
      <c r="C21" s="6" t="s">
        <v>129</v>
      </c>
      <c r="D21" s="6" t="s">
        <v>132</v>
      </c>
      <c r="E21" s="6" t="s">
        <v>83</v>
      </c>
      <c r="F21" s="6" t="s">
        <v>19</v>
      </c>
    </row>
    <row r="22" customFormat="false" ht="15" hidden="false" customHeight="false" outlineLevel="0" collapsed="false">
      <c r="A22" s="6" t="s">
        <v>40</v>
      </c>
      <c r="B22" s="6" t="s">
        <v>133</v>
      </c>
      <c r="C22" s="6" t="s">
        <v>134</v>
      </c>
      <c r="D22" s="6" t="s">
        <v>135</v>
      </c>
      <c r="E22" s="6" t="s">
        <v>125</v>
      </c>
      <c r="F22" s="6" t="s">
        <v>19</v>
      </c>
    </row>
    <row r="23" customFormat="false" ht="15" hidden="false" customHeight="false" outlineLevel="0" collapsed="false">
      <c r="A23" s="6" t="s">
        <v>40</v>
      </c>
      <c r="B23" s="6" t="s">
        <v>136</v>
      </c>
      <c r="C23" s="6" t="s">
        <v>137</v>
      </c>
      <c r="D23" s="6" t="s">
        <v>138</v>
      </c>
      <c r="E23" s="6" t="s">
        <v>83</v>
      </c>
      <c r="F23" s="6" t="s">
        <v>17</v>
      </c>
    </row>
    <row r="24" customFormat="false" ht="15" hidden="false" customHeight="false" outlineLevel="0" collapsed="false">
      <c r="A24" s="6" t="s">
        <v>40</v>
      </c>
      <c r="B24" s="6" t="s">
        <v>139</v>
      </c>
      <c r="C24" s="6" t="s">
        <v>137</v>
      </c>
      <c r="D24" s="6" t="s">
        <v>140</v>
      </c>
      <c r="E24" s="6" t="s">
        <v>83</v>
      </c>
      <c r="F24" s="6" t="s">
        <v>18</v>
      </c>
    </row>
    <row r="25" customFormat="false" ht="15" hidden="false" customHeight="false" outlineLevel="0" collapsed="false">
      <c r="A25" s="6" t="s">
        <v>40</v>
      </c>
      <c r="B25" s="6" t="s">
        <v>141</v>
      </c>
      <c r="C25" s="6" t="s">
        <v>142</v>
      </c>
      <c r="D25" s="6" t="s">
        <v>143</v>
      </c>
      <c r="E25" s="6" t="s">
        <v>83</v>
      </c>
      <c r="F25" s="6" t="s">
        <v>18</v>
      </c>
    </row>
    <row r="26" customFormat="false" ht="15" hidden="false" customHeight="false" outlineLevel="0" collapsed="false">
      <c r="A26" s="6" t="s">
        <v>40</v>
      </c>
      <c r="B26" s="6" t="s">
        <v>144</v>
      </c>
      <c r="C26" s="6" t="s">
        <v>142</v>
      </c>
      <c r="D26" s="6" t="s">
        <v>145</v>
      </c>
      <c r="E26" s="6" t="s">
        <v>97</v>
      </c>
      <c r="F26" s="6" t="s">
        <v>18</v>
      </c>
    </row>
    <row r="27" customFormat="false" ht="15" hidden="false" customHeight="false" outlineLevel="0" collapsed="false">
      <c r="A27" s="6" t="s">
        <v>40</v>
      </c>
      <c r="B27" s="6" t="s">
        <v>146</v>
      </c>
      <c r="C27" s="6" t="s">
        <v>147</v>
      </c>
      <c r="D27" s="6" t="s">
        <v>148</v>
      </c>
      <c r="E27" s="6" t="s">
        <v>83</v>
      </c>
      <c r="F27" s="6" t="s">
        <v>17</v>
      </c>
    </row>
    <row r="28" customFormat="false" ht="15" hidden="false" customHeight="false" outlineLevel="0" collapsed="false">
      <c r="A28" s="6" t="s">
        <v>40</v>
      </c>
      <c r="B28" s="6" t="s">
        <v>149</v>
      </c>
      <c r="C28" s="6" t="s">
        <v>147</v>
      </c>
      <c r="D28" s="6" t="s">
        <v>150</v>
      </c>
      <c r="E28" s="6" t="s">
        <v>97</v>
      </c>
      <c r="F28" s="6" t="s">
        <v>17</v>
      </c>
    </row>
    <row r="29" customFormat="false" ht="15" hidden="false" customHeight="false" outlineLevel="0" collapsed="false">
      <c r="A29" s="6" t="s">
        <v>40</v>
      </c>
      <c r="B29" s="6" t="s">
        <v>151</v>
      </c>
      <c r="C29" s="6" t="s">
        <v>152</v>
      </c>
      <c r="D29" s="6" t="s">
        <v>153</v>
      </c>
      <c r="E29" s="6" t="s">
        <v>83</v>
      </c>
      <c r="F29" s="6" t="s">
        <v>18</v>
      </c>
    </row>
    <row r="30" customFormat="false" ht="15" hidden="false" customHeight="false" outlineLevel="0" collapsed="false">
      <c r="A30" s="6" t="s">
        <v>49</v>
      </c>
      <c r="B30" s="6" t="s">
        <v>154</v>
      </c>
      <c r="C30" s="6" t="s">
        <v>155</v>
      </c>
      <c r="D30" s="6" t="s">
        <v>156</v>
      </c>
      <c r="E30" s="6" t="s">
        <v>83</v>
      </c>
      <c r="F30" s="6" t="s">
        <v>17</v>
      </c>
    </row>
    <row r="31" customFormat="false" ht="15" hidden="false" customHeight="false" outlineLevel="0" collapsed="false">
      <c r="A31" s="6" t="s">
        <v>49</v>
      </c>
      <c r="B31" s="6" t="s">
        <v>157</v>
      </c>
      <c r="C31" s="6" t="s">
        <v>155</v>
      </c>
      <c r="D31" s="6" t="s">
        <v>158</v>
      </c>
      <c r="E31" s="6" t="s">
        <v>88</v>
      </c>
      <c r="F31" s="6" t="s">
        <v>17</v>
      </c>
    </row>
    <row r="32" customFormat="false" ht="15" hidden="false" customHeight="false" outlineLevel="0" collapsed="false">
      <c r="A32" s="6" t="s">
        <v>49</v>
      </c>
      <c r="B32" s="6" t="s">
        <v>159</v>
      </c>
      <c r="C32" s="6" t="s">
        <v>160</v>
      </c>
      <c r="D32" s="6" t="s">
        <v>161</v>
      </c>
      <c r="E32" s="6" t="s">
        <v>83</v>
      </c>
      <c r="F32" s="6" t="s">
        <v>17</v>
      </c>
    </row>
    <row r="33" customFormat="false" ht="15" hidden="false" customHeight="false" outlineLevel="0" collapsed="false">
      <c r="A33" s="6" t="s">
        <v>49</v>
      </c>
      <c r="B33" s="6" t="s">
        <v>162</v>
      </c>
      <c r="C33" s="6" t="s">
        <v>160</v>
      </c>
      <c r="D33" s="6" t="s">
        <v>163</v>
      </c>
      <c r="E33" s="6" t="s">
        <v>83</v>
      </c>
      <c r="F33" s="6" t="s">
        <v>18</v>
      </c>
    </row>
    <row r="34" customFormat="false" ht="15" hidden="false" customHeight="false" outlineLevel="0" collapsed="false">
      <c r="A34" s="6" t="s">
        <v>49</v>
      </c>
      <c r="B34" s="6" t="s">
        <v>164</v>
      </c>
      <c r="C34" s="6" t="s">
        <v>165</v>
      </c>
      <c r="D34" s="6" t="s">
        <v>166</v>
      </c>
      <c r="E34" s="6" t="s">
        <v>83</v>
      </c>
      <c r="F34" s="6" t="s">
        <v>17</v>
      </c>
    </row>
    <row r="35" customFormat="false" ht="15" hidden="false" customHeight="false" outlineLevel="0" collapsed="false">
      <c r="A35" s="6" t="s">
        <v>49</v>
      </c>
      <c r="B35" s="6" t="s">
        <v>167</v>
      </c>
      <c r="C35" s="6" t="s">
        <v>165</v>
      </c>
      <c r="D35" s="6" t="s">
        <v>168</v>
      </c>
      <c r="E35" s="6" t="s">
        <v>83</v>
      </c>
      <c r="F35" s="6" t="s">
        <v>17</v>
      </c>
    </row>
    <row r="36" customFormat="false" ht="15" hidden="false" customHeight="false" outlineLevel="0" collapsed="false">
      <c r="A36" s="6" t="s">
        <v>49</v>
      </c>
      <c r="B36" s="6" t="s">
        <v>169</v>
      </c>
      <c r="C36" s="6" t="s">
        <v>165</v>
      </c>
      <c r="D36" s="6" t="s">
        <v>170</v>
      </c>
      <c r="E36" s="6" t="s">
        <v>97</v>
      </c>
      <c r="F36" s="6" t="s">
        <v>17</v>
      </c>
    </row>
    <row r="37" customFormat="false" ht="15" hidden="false" customHeight="false" outlineLevel="0" collapsed="false">
      <c r="A37" s="6" t="s">
        <v>59</v>
      </c>
      <c r="B37" s="6" t="s">
        <v>171</v>
      </c>
      <c r="C37" s="6" t="s">
        <v>172</v>
      </c>
      <c r="D37" s="6" t="s">
        <v>173</v>
      </c>
      <c r="E37" s="6" t="s">
        <v>83</v>
      </c>
      <c r="F37" s="6" t="s">
        <v>17</v>
      </c>
    </row>
    <row r="38" customFormat="false" ht="15" hidden="false" customHeight="false" outlineLevel="0" collapsed="false">
      <c r="A38" s="6" t="s">
        <v>59</v>
      </c>
      <c r="B38" s="6" t="s">
        <v>174</v>
      </c>
      <c r="C38" s="6" t="s">
        <v>172</v>
      </c>
      <c r="D38" s="6" t="s">
        <v>175</v>
      </c>
      <c r="E38" s="6" t="s">
        <v>83</v>
      </c>
      <c r="F38" s="6" t="s">
        <v>18</v>
      </c>
    </row>
    <row r="39" customFormat="false" ht="15" hidden="false" customHeight="false" outlineLevel="0" collapsed="false">
      <c r="A39" s="6" t="s">
        <v>59</v>
      </c>
      <c r="B39" s="6" t="s">
        <v>176</v>
      </c>
      <c r="C39" s="6" t="s">
        <v>177</v>
      </c>
      <c r="D39" s="6" t="s">
        <v>178</v>
      </c>
      <c r="E39" s="6" t="s">
        <v>83</v>
      </c>
      <c r="F39" s="6" t="s">
        <v>18</v>
      </c>
    </row>
    <row r="40" customFormat="false" ht="15" hidden="false" customHeight="false" outlineLevel="0" collapsed="false">
      <c r="A40" s="6" t="s">
        <v>59</v>
      </c>
      <c r="B40" s="6" t="s">
        <v>179</v>
      </c>
      <c r="C40" s="6" t="s">
        <v>177</v>
      </c>
      <c r="D40" s="6" t="s">
        <v>180</v>
      </c>
      <c r="E40" s="6" t="s">
        <v>97</v>
      </c>
      <c r="F40" s="6" t="s">
        <v>17</v>
      </c>
    </row>
    <row r="41" customFormat="false" ht="15" hidden="false" customHeight="false" outlineLevel="0" collapsed="false">
      <c r="A41" s="6" t="s">
        <v>59</v>
      </c>
      <c r="B41" s="6" t="s">
        <v>181</v>
      </c>
      <c r="C41" s="6" t="s">
        <v>182</v>
      </c>
      <c r="D41" s="6" t="s">
        <v>183</v>
      </c>
      <c r="E41" s="6" t="s">
        <v>83</v>
      </c>
      <c r="F41" s="6" t="s">
        <v>18</v>
      </c>
    </row>
    <row r="42" customFormat="false" ht="15" hidden="false" customHeight="false" outlineLevel="0" collapsed="false">
      <c r="A42" s="6" t="s">
        <v>59</v>
      </c>
      <c r="B42" s="6" t="s">
        <v>184</v>
      </c>
      <c r="C42" s="6" t="s">
        <v>182</v>
      </c>
      <c r="D42" s="6" t="s">
        <v>185</v>
      </c>
      <c r="E42" s="6" t="s">
        <v>97</v>
      </c>
      <c r="F42" s="6" t="s">
        <v>17</v>
      </c>
    </row>
    <row r="43" customFormat="false" ht="15" hidden="false" customHeight="false" outlineLevel="0" collapsed="false">
      <c r="A43" s="6" t="s">
        <v>59</v>
      </c>
      <c r="B43" s="6" t="s">
        <v>186</v>
      </c>
      <c r="C43" s="6" t="s">
        <v>187</v>
      </c>
      <c r="D43" s="6" t="s">
        <v>188</v>
      </c>
      <c r="E43" s="6" t="s">
        <v>83</v>
      </c>
      <c r="F43" s="6" t="s">
        <v>17</v>
      </c>
    </row>
    <row r="44" customFormat="false" ht="15" hidden="false" customHeight="false" outlineLevel="0" collapsed="false">
      <c r="A44" s="6" t="s">
        <v>59</v>
      </c>
      <c r="B44" s="6" t="s">
        <v>189</v>
      </c>
      <c r="C44" s="6" t="s">
        <v>187</v>
      </c>
      <c r="D44" s="6" t="s">
        <v>190</v>
      </c>
      <c r="E44" s="6" t="s">
        <v>83</v>
      </c>
      <c r="F44" s="6" t="s">
        <v>17</v>
      </c>
    </row>
    <row r="45" customFormat="false" ht="15" hidden="false" customHeight="false" outlineLevel="0" collapsed="false">
      <c r="A45" s="6" t="s">
        <v>59</v>
      </c>
      <c r="B45" s="6" t="s">
        <v>191</v>
      </c>
      <c r="C45" s="6" t="s">
        <v>192</v>
      </c>
      <c r="D45" s="6" t="s">
        <v>193</v>
      </c>
      <c r="E45" s="6" t="s">
        <v>83</v>
      </c>
      <c r="F45" s="6" t="s">
        <v>17</v>
      </c>
    </row>
    <row r="46" customFormat="false" ht="15" hidden="false" customHeight="false" outlineLevel="0" collapsed="false">
      <c r="A46" s="6" t="s">
        <v>59</v>
      </c>
      <c r="B46" s="6" t="s">
        <v>194</v>
      </c>
      <c r="C46" s="6" t="s">
        <v>192</v>
      </c>
      <c r="D46" s="6" t="s">
        <v>195</v>
      </c>
      <c r="E46" s="6" t="s">
        <v>115</v>
      </c>
      <c r="F46" s="6" t="s">
        <v>17</v>
      </c>
    </row>
    <row r="47" customFormat="false" ht="15" hidden="false" customHeight="false" outlineLevel="0" collapsed="false">
      <c r="A47" s="6" t="s">
        <v>59</v>
      </c>
      <c r="B47" s="6" t="s">
        <v>196</v>
      </c>
      <c r="C47" s="6" t="s">
        <v>192</v>
      </c>
      <c r="D47" s="6" t="s">
        <v>197</v>
      </c>
      <c r="E47" s="6" t="s">
        <v>97</v>
      </c>
      <c r="F47" s="6" t="s">
        <v>17</v>
      </c>
    </row>
    <row r="48" customFormat="false" ht="15" hidden="false" customHeight="false" outlineLevel="0" collapsed="false">
      <c r="A48" s="6" t="s">
        <v>59</v>
      </c>
      <c r="B48" s="6" t="s">
        <v>198</v>
      </c>
      <c r="C48" s="6" t="s">
        <v>199</v>
      </c>
      <c r="D48" s="6" t="s">
        <v>200</v>
      </c>
      <c r="E48" s="6" t="s">
        <v>97</v>
      </c>
      <c r="F48" s="6" t="s">
        <v>17</v>
      </c>
    </row>
    <row r="49" customFormat="false" ht="15" hidden="false" customHeight="false" outlineLevel="0" collapsed="false">
      <c r="A49" s="6" t="s">
        <v>59</v>
      </c>
      <c r="B49" s="6" t="s">
        <v>201</v>
      </c>
      <c r="C49" s="6" t="s">
        <v>199</v>
      </c>
      <c r="D49" s="6" t="s">
        <v>202</v>
      </c>
      <c r="E49" s="6" t="s">
        <v>83</v>
      </c>
      <c r="F49" s="6" t="s">
        <v>19</v>
      </c>
    </row>
    <row r="50" customFormat="false" ht="15" hidden="false" customHeight="false" outlineLevel="0" collapsed="false">
      <c r="A50" s="6" t="s">
        <v>68</v>
      </c>
      <c r="B50" s="6" t="s">
        <v>203</v>
      </c>
      <c r="C50" s="6" t="s">
        <v>72</v>
      </c>
      <c r="D50" s="6" t="s">
        <v>204</v>
      </c>
      <c r="E50" s="6" t="s">
        <v>83</v>
      </c>
      <c r="F50" s="6" t="s">
        <v>18</v>
      </c>
    </row>
  </sheetData>
  <autoFilter ref="A1:F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2026-10-08T02:18:20Z</dcterms:created>
  <dc:creator>openpyxl</dc:creator>
  <dc:description/>
  <dc:language>en-US</dc:language>
  <cp:lastModifiedBy/>
  <dcterms:modified xsi:type="dcterms:W3CDTF">2026-10-08T02:18:20Z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